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Custos mês a mês" sheetId="3" state="visible" r:id="rId3"/>
    <sheet name="Canais de aquisição" sheetId="4" state="visible" r:id="rId4"/>
    <sheet name="Cenário Pessimista" sheetId="5" state="visible" r:id="rId5"/>
    <sheet name="Cenário Moderado" sheetId="6" state="visible" r:id="rId6"/>
    <sheet name="Cenário Otimista" sheetId="7" state="visible" r:id="rId7"/>
    <sheet name="Simulador" sheetId="8" state="visible" r:id="rId8"/>
    <sheet name="Realizado" sheetId="9" state="visible" r:id="rId9"/>
    <sheet name="Plano × Real" sheetId="10" state="visible" r:id="rId10"/>
    <sheet name="Custos de implantação" sheetId="11" state="visible" r:id="rId11"/>
    <sheet name="Análise de custos" sheetId="12" state="visible" r:id="rId12"/>
    <sheet name="Painel do mês" sheetId="13" state="visible" r:id="rId13"/>
    <sheet name="Investimento (CAPEX)" sheetId="14" state="visible" r:id="rId14"/>
    <sheet name="Resumo" sheetId="15" state="visible" r:id="rId15"/>
  </sheets>
  <definedNames>
    <definedName name="INVEST_TOTAL">'Investimento (CAPEX)'!$E$85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R$&quot; #,##0"/>
    <numFmt numFmtId="165" formatCode="0.0%"/>
    <numFmt numFmtId="166" formatCode="#,##0.0"/>
    <numFmt numFmtId="167" formatCode="0.00&quot;×&quot;"/>
    <numFmt numFmtId="168" formatCode="&quot;R$&quot; #,##0;[Red]-&quot;R$&quot; #,##0"/>
    <numFmt numFmtId="169" formatCode="yyyy-mm-dd"/>
    <numFmt numFmtId="170" formatCode="dd/mm/yyyy"/>
  </numFmts>
  <fonts count="2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  <font>
      <b val="1"/>
      <color rgb="001F3864"/>
      <sz val="11"/>
    </font>
    <font>
      <b val="1"/>
      <sz val="9"/>
    </font>
    <font>
      <b val="1"/>
    </font>
    <font>
      <i val="1"/>
      <color rgb="00C00000"/>
      <sz val="9"/>
    </font>
    <font>
      <b val="1"/>
      <color rgb="00FFFFFF"/>
      <sz val="9"/>
    </font>
    <font>
      <i val="1"/>
      <color rgb="00888888"/>
      <sz val="9"/>
    </font>
    <font>
      <b val="1"/>
      <color rgb="00006100"/>
    </font>
    <font>
      <b val="1"/>
      <color rgb="001F4E79"/>
      <sz val="9"/>
    </font>
    <font>
      <b val="1"/>
      <color rgb="00006100"/>
      <sz val="9"/>
    </font>
    <font/>
    <font>
      <b val="1"/>
      <color rgb="001F3864"/>
      <sz val="12"/>
    </font>
    <font>
      <b val="1"/>
      <sz val="12"/>
    </font>
    <font>
      <b val="1"/>
      <color rgb="00666666"/>
      <sz val="9"/>
    </font>
    <font>
      <b val="1"/>
      <color rgb="00FFFFFF"/>
      <sz val="10"/>
    </font>
    <font>
      <color rgb="00AAAAAA"/>
      <sz val="8"/>
    </font>
    <font>
      <b val="1"/>
      <color rgb="00AAAAAA"/>
      <sz val="8"/>
    </font>
    <font>
      <sz val="9"/>
    </font>
    <font>
      <b val="1"/>
      <sz val="8"/>
    </font>
    <font>
      <b val="1"/>
      <sz val="10"/>
    </font>
    <font>
      <color rgb="00000000"/>
      <sz val="10"/>
    </font>
    <font>
      <b val="1"/>
      <color rgb="001F3864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DF3FA"/>
      </patternFill>
    </fill>
    <fill>
      <patternFill patternType="solid">
        <fgColor rgb="00F2F2F2"/>
      </patternFill>
    </fill>
    <fill>
      <patternFill patternType="solid">
        <fgColor rgb="007F7F7F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BDD7EE"/>
        <bgColor rgb="00BDD7EE"/>
      </patternFill>
    </fill>
    <fill>
      <patternFill patternType="solid">
        <fgColor rgb="00FFD966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3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2" borderId="0" pivotButton="0" quotePrefix="0" xfId="0"/>
    <xf numFmtId="164" fontId="0" fillId="3" borderId="1" applyProtection="1" pivotButton="0" quotePrefix="0" xfId="0">
      <protection locked="0" hidden="0"/>
    </xf>
    <xf numFmtId="0" fontId="2" fillId="0" borderId="0" pivotButton="0" quotePrefix="0" xfId="0"/>
    <xf numFmtId="0" fontId="3" fillId="4" borderId="0" pivotButton="0" quotePrefix="0" xfId="0"/>
    <xf numFmtId="0" fontId="0" fillId="4" borderId="0" pivotButton="0" quotePrefix="0" xfId="0"/>
    <xf numFmtId="165" fontId="0" fillId="3" borderId="1" applyProtection="1" pivotButton="0" quotePrefix="0" xfId="0">
      <protection locked="0" hidden="0"/>
    </xf>
    <xf numFmtId="0" fontId="4" fillId="4" borderId="0" pivotButton="0" quotePrefix="0" xfId="0"/>
    <xf numFmtId="0" fontId="0" fillId="3" borderId="1" applyProtection="1" pivotButton="0" quotePrefix="0" xfId="0">
      <protection locked="0" hidden="0"/>
    </xf>
    <xf numFmtId="3" fontId="0" fillId="3" borderId="1" applyProtection="1" pivotButton="0" quotePrefix="0" xfId="0">
      <protection locked="0" hidden="0"/>
    </xf>
    <xf numFmtId="0" fontId="5" fillId="0" borderId="0" pivotButton="0" quotePrefix="0" xfId="0"/>
    <xf numFmtId="164" fontId="5" fillId="5" borderId="1" pivotButton="0" quotePrefix="0" xfId="0"/>
    <xf numFmtId="166" fontId="0" fillId="3" borderId="1" applyProtection="1" pivotButton="0" quotePrefix="0" xfId="0">
      <protection locked="0" hidden="0"/>
    </xf>
    <xf numFmtId="166" fontId="5" fillId="5" borderId="1" pivotButton="0" quotePrefix="0" xfId="0"/>
    <xf numFmtId="3" fontId="5" fillId="5" borderId="1" pivotButton="0" quotePrefix="0" xfId="0"/>
    <xf numFmtId="167" fontId="0" fillId="3" borderId="1" applyProtection="1" pivotButton="0" quotePrefix="0" xfId="0">
      <protection locked="0" hidden="0"/>
    </xf>
    <xf numFmtId="0" fontId="6" fillId="0" borderId="0" pivotButton="0" quotePrefix="0" xfId="0"/>
    <xf numFmtId="0" fontId="4" fillId="0" borderId="0" pivotButton="0" quotePrefix="0" xfId="0"/>
    <xf numFmtId="10" fontId="0" fillId="3" borderId="1" applyProtection="1" pivotButton="0" quotePrefix="0" xfId="0">
      <protection locked="0" hidden="0"/>
    </xf>
    <xf numFmtId="0" fontId="1" fillId="2" borderId="0" applyAlignment="1" pivotButton="0" quotePrefix="0" xfId="0">
      <alignment horizontal="center"/>
    </xf>
    <xf numFmtId="164" fontId="5" fillId="6" borderId="1" pivotButton="0" quotePrefix="0" xfId="0"/>
    <xf numFmtId="3" fontId="5" fillId="6" borderId="1" pivotButton="0" quotePrefix="0" xfId="0"/>
    <xf numFmtId="0" fontId="7" fillId="7" borderId="0" pivotButton="0" quotePrefix="0" xfId="0"/>
    <xf numFmtId="3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3" fontId="5" fillId="6" borderId="0" pivotButton="0" quotePrefix="0" xfId="0"/>
    <xf numFmtId="164" fontId="5" fillId="6" borderId="0" pivotButton="0" quotePrefix="0" xfId="0"/>
    <xf numFmtId="166" fontId="5" fillId="6" borderId="0" pivotButton="0" quotePrefix="0" xfId="0"/>
    <xf numFmtId="0" fontId="8" fillId="0" borderId="0" pivotButton="0" quotePrefix="0" xfId="0"/>
    <xf numFmtId="3" fontId="8" fillId="0" borderId="1" pivotButton="0" quotePrefix="0" xfId="0"/>
    <xf numFmtId="3" fontId="5" fillId="0" borderId="1" pivotButton="0" quotePrefix="0" xfId="0"/>
    <xf numFmtId="3" fontId="9" fillId="8" borderId="0" pivotButton="0" quotePrefix="0" xfId="0"/>
    <xf numFmtId="0" fontId="7" fillId="9" borderId="0" pivotButton="0" quotePrefix="0" xfId="0"/>
    <xf numFmtId="166" fontId="5" fillId="0" borderId="1" pivotButton="0" quotePrefix="0" xfId="0"/>
    <xf numFmtId="0" fontId="10" fillId="10" borderId="0" pivotButton="0" quotePrefix="0" xfId="0"/>
    <xf numFmtId="0" fontId="11" fillId="8" borderId="0" pivotButton="0" quotePrefix="0" xfId="0"/>
    <xf numFmtId="0" fontId="5" fillId="6" borderId="0" pivotButton="0" quotePrefix="0" xfId="0"/>
    <xf numFmtId="10" fontId="5" fillId="0" borderId="1" pivotButton="0" quotePrefix="0" xfId="0"/>
    <xf numFmtId="168" fontId="5" fillId="0" borderId="1" pivotButton="0" quotePrefix="0" xfId="0"/>
    <xf numFmtId="0" fontId="4" fillId="0" borderId="1" applyAlignment="1" pivotButton="0" quotePrefix="0" xfId="0">
      <alignment horizontal="center"/>
    </xf>
    <xf numFmtId="0" fontId="12" fillId="0" borderId="0" pivotButton="0" quotePrefix="0" xfId="0"/>
    <xf numFmtId="10" fontId="5" fillId="5" borderId="1" pivotButton="0" quotePrefix="0" xfId="0"/>
    <xf numFmtId="168" fontId="5" fillId="5" borderId="1" pivotButton="0" quotePrefix="0" xfId="0"/>
    <xf numFmtId="0" fontId="13" fillId="0" borderId="0" pivotButton="0" quotePrefix="0" xfId="0"/>
    <xf numFmtId="0" fontId="14" fillId="11" borderId="0" pivotButton="0" quotePrefix="0" xfId="0"/>
    <xf numFmtId="168" fontId="5" fillId="6" borderId="1" pivotButton="0" quotePrefix="0" xfId="0"/>
    <xf numFmtId="168" fontId="0" fillId="0" borderId="1" pivotButton="0" quotePrefix="0" xfId="0"/>
    <xf numFmtId="0" fontId="15" fillId="0" borderId="0" pivotButton="0" quotePrefix="0" xfId="0"/>
    <xf numFmtId="164" fontId="14" fillId="6" borderId="1" pivotButton="0" quotePrefix="0" xfId="0"/>
    <xf numFmtId="3" fontId="14" fillId="6" borderId="1" pivotButton="0" quotePrefix="0" xfId="0"/>
    <xf numFmtId="0" fontId="16" fillId="7" borderId="0" pivotButton="0" quotePrefix="0" xfId="0"/>
    <xf numFmtId="0" fontId="18" fillId="0" borderId="0" pivotButton="0" quotePrefix="0" xfId="0"/>
    <xf numFmtId="170" fontId="0" fillId="3" borderId="1" applyProtection="1" pivotButton="0" quotePrefix="0" xfId="0">
      <protection locked="0" hidden="0"/>
    </xf>
    <xf numFmtId="3" fontId="17" fillId="0" borderId="0" pivotButton="0" quotePrefix="0" xfId="0"/>
    <xf numFmtId="0" fontId="19" fillId="0" borderId="1" pivotButton="0" quotePrefix="0" xfId="0"/>
    <xf numFmtId="168" fontId="14" fillId="6" borderId="1" pivotButton="0" quotePrefix="0" xfId="0"/>
    <xf numFmtId="0" fontId="20" fillId="0" borderId="0" applyAlignment="1" pivotButton="0" quotePrefix="0" xfId="0">
      <alignment textRotation="45"/>
    </xf>
    <xf numFmtId="164" fontId="5" fillId="0" borderId="1" pivotButton="0" quotePrefix="0" xfId="0"/>
    <xf numFmtId="0" fontId="21" fillId="0" borderId="0" pivotButton="0" quotePrefix="0" xfId="0"/>
    <xf numFmtId="164" fontId="0" fillId="3" borderId="0" applyProtection="1" pivotButton="0" quotePrefix="0" xfId="0">
      <protection locked="0" hidden="0"/>
    </xf>
    <xf numFmtId="164" fontId="0" fillId="0" borderId="0" pivotButton="0" quotePrefix="0" xfId="0"/>
    <xf numFmtId="3" fontId="0" fillId="0" borderId="0" pivotButton="0" quotePrefix="0" xfId="0"/>
    <xf numFmtId="164" fontId="5" fillId="0" borderId="0" pivotButton="0" quotePrefix="0" xfId="0"/>
    <xf numFmtId="164" fontId="5" fillId="3" borderId="0" applyProtection="1" pivotButton="0" quotePrefix="0" xfId="0">
      <protection locked="0" hidden="0"/>
    </xf>
    <xf numFmtId="0" fontId="5" fillId="11" borderId="0" pivotButton="0" quotePrefix="0" xfId="0"/>
    <xf numFmtId="164" fontId="5" fillId="11" borderId="0" pivotButton="0" quotePrefix="0" xfId="0"/>
    <xf numFmtId="0" fontId="5" fillId="12" borderId="0" pivotButton="0" quotePrefix="0" xfId="0"/>
    <xf numFmtId="164" fontId="5" fillId="12" borderId="0" pivotButton="0" quotePrefix="0" xfId="0"/>
    <xf numFmtId="10" fontId="0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00B050"/>
          <bgColor rgb="0000B050"/>
        </patternFill>
      </fill>
    </dxf>
    <dxf>
      <font>
        <b val="1"/>
        <color rgb="001F4E79"/>
      </font>
      <fill>
        <patternFill patternType="solid">
          <fgColor rgb="00BDD7EE"/>
          <bgColor rgb="00BDD7E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DDEBF7"/>
          <b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Desembolso mês a mês da implantação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'Análise de custos'!B49</f>
            </strRef>
          </tx>
          <spPr>
            <a:ln>
              <a:prstDash val="solid"/>
            </a:ln>
          </spPr>
          <cat>
            <numRef>
              <f>'Análise de custos'!$A$50:$A$68</f>
            </numRef>
          </cat>
          <val>
            <numRef>
              <f>'Análise de custos'!$B$50:$B$68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Onde o dinheiro foi —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'Análise de custos'!B6</f>
            </strRef>
          </tx>
          <spPr>
            <a:ln>
              <a:prstDash val="solid"/>
            </a:ln>
          </spPr>
          <cat>
            <numRef>
              <f>'Análise de custos'!$A$7:$A$16</f>
            </numRef>
          </cat>
          <val>
            <numRef>
              <f>'Análise de custos'!$B$7:$B$16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 tipo de gasto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'Análise de custos'!B19</f>
            </strRef>
          </tx>
          <spPr>
            <a:ln>
              <a:prstDash val="solid"/>
            </a:ln>
          </spPr>
          <cat>
            <numRef>
              <f>'Análise de custos'!$A$20:$A$27</f>
            </numRef>
          </cat>
          <val>
            <numRef>
              <f>'Análise de custos'!$B$20:$B$27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Pago × Previsto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'Análise de custos'!$A$43:$A$45</f>
            </numRef>
          </cat>
          <val>
            <numRef>
              <f>'Análise de custos'!$B$43:$B$45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61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4</row>
      <rowOff>0</rowOff>
    </from>
    <ext cx="50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23</row>
      <rowOff>0</rowOff>
    </from>
    <ext cx="504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42</row>
      <rowOff>0</rowOff>
    </from>
    <ext cx="432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DiscoverON — Projeção e acompanhamento financeiro (v6 · 08/09/2026)</t>
        </is>
      </c>
    </row>
    <row r="2">
      <c r="A2" s="2" t="inlineStr"/>
    </row>
    <row r="3">
      <c r="A3" s="3" t="inlineStr">
        <is>
          <t>AS ABAS, NA ORDEM DE USO</t>
        </is>
      </c>
    </row>
    <row r="4">
      <c r="A4" s="2" t="inlineStr">
        <is>
          <t>1. PREMISSAS — preços, equipe (com mês de entrada), professores, sazonalidade, CAC, tabela do Simples e custos padrão. Edite só as células amarelas.</t>
        </is>
      </c>
    </row>
    <row r="5">
      <c r="A5" s="2" t="inlineStr">
        <is>
          <t>2. CUSTOS MÊS A MÊS — cada custo por período. Digite por cima para variar um mês (ex.: pró-labore só de fev, marketing maior na abertura).</t>
        </is>
      </c>
    </row>
    <row r="6">
      <c r="A6" s="2" t="inlineStr">
        <is>
          <t>3. CENÁRIOS (Pessimista / Moderado / Otimista) e SIMULADOR — projeção mês a mês.</t>
        </is>
      </c>
    </row>
    <row r="7">
      <c r="A7" s="2" t="inlineStr">
        <is>
          <t>4. CUSTOS DE IMPLANTAÇÃO (aba vermelha) — livro de lançamentos da obra/abertura, cada gasto com categoria, tipo, fornecedor e status.</t>
        </is>
      </c>
    </row>
    <row r="8">
      <c r="A8" s="2" t="inlineStr">
        <is>
          <t>5. ANÁLISE DE CUSTOS (aba roxa) — para onde o dinheiro foi: totais por categoria e tipo, matriz cruzada, pago × previsto e gráficos.</t>
        </is>
      </c>
    </row>
    <row r="9">
      <c r="A9" s="2" t="inlineStr">
        <is>
          <t>6. REALIZADO (verde) e PLANO × REAL (laranja) — o dia a dia da operação depois de aberta.</t>
        </is>
      </c>
    </row>
    <row r="10">
      <c r="A10" s="2" t="inlineStr">
        <is>
          <t>7. PAINEL DO MÊS (azul) — escolha o período e veja plano × real com alertas.</t>
        </is>
      </c>
    </row>
    <row r="11">
      <c r="A11" s="2" t="inlineStr">
        <is>
          <t>8. INVESTIMENTO (CAPEX) e RESUMO.</t>
        </is>
      </c>
    </row>
    <row r="12">
      <c r="A12" s="2" t="inlineStr"/>
    </row>
    <row r="13">
      <c r="A13" s="3" t="inlineStr">
        <is>
          <t>NOVIDADES DESTA VERSÃO</t>
        </is>
      </c>
    </row>
    <row r="14">
      <c r="A14" s="2" t="inlineStr">
        <is>
          <t>• MARKETING → CAC → MATRÍCULAS: nas Premissas, escolha a origem das matrículas. No modo 2, cada cenário calcula as matrículas do mês dividindo o marketing daquele período (aba 'Custos mês a mês') pelo CAC. Ex.: R$ 6.000 com CAC de R$ 200 = 30 matrículas — e todos os totais se ajustam sozinhos.</t>
        </is>
      </c>
    </row>
    <row r="15">
      <c r="A15" s="2" t="inlineStr">
        <is>
          <t>• Cada cenário mostra o CAC REALIZADO do mês (marketing ÷ matrículas), útil também no modo manual para saber se a verba de marketing sustenta o plano.</t>
        </is>
      </c>
    </row>
    <row r="16">
      <c r="A16" s="2" t="inlineStr">
        <is>
          <t>• LIVRO DE CUSTOS DE IMPLANTAÇÃO com tags (categoria + tipo), status pago/previsto e análise com gráficos — inclusive comparando o total lançado com o orçado no CAPEX.</t>
        </is>
      </c>
    </row>
    <row r="17">
      <c r="A17" s="2" t="inlineStr"/>
    </row>
    <row r="18">
      <c r="A18" s="3" t="inlineStr">
        <is>
          <t>REGRAS DO MODELO</t>
        </is>
      </c>
    </row>
    <row r="19">
      <c r="A19" s="2" t="inlineStr">
        <is>
          <t>• Out e nov são meses de obras: sem custos operacionais por padrão. Abertura e 1º aluguel em dez (M1). Projeção até mar (M16).</t>
        </is>
      </c>
    </row>
    <row r="20">
      <c r="A20" s="2" t="inlineStr">
        <is>
          <t>• Material vendido a R$ 900 em 12x com antecipação (~R$ 810 à vista); custo de R$ 375 pago em 12x.</t>
        </is>
      </c>
    </row>
    <row r="21">
      <c r="A21" s="2" t="inlineStr">
        <is>
          <t>• Professores dimensionados pela capacidade das salas (4 inglês ×8/2h + 1 informática ×10/1h), janela 9h–20h, aproveitamento de 70%.</t>
        </is>
      </c>
    </row>
    <row r="22">
      <c r="A22" s="2" t="inlineStr">
        <is>
          <t>• Imposto pelo Simples Nacional progressivo (Anexo III), com RBT12 proporcionalizado.</t>
        </is>
      </c>
    </row>
    <row r="23">
      <c r="A23" s="2" t="inlineStr">
        <is>
          <t>• 13º em dezembro (proporcional) e férias + 1/3 ao completar 12 meses saem como desembolso próprio.</t>
        </is>
      </c>
    </row>
    <row r="24">
      <c r="A24" s="2" t="inlineStr"/>
    </row>
    <row r="25">
      <c r="A25" s="3" t="inlineStr">
        <is>
          <t>PENDÊNCIAS</t>
        </is>
      </c>
    </row>
    <row r="26">
      <c r="A26" s="2" t="inlineStr">
        <is>
          <t>⚠ Os itens do CAPEX marcados como ESTIMATIVA são referências para dar ordem de grandeza — troque pelo orçamento real.</t>
        </is>
      </c>
    </row>
    <row r="27">
      <c r="A27" s="2" t="inlineStr">
        <is>
          <t>⚠ Confirme com o contador o anexo do Simples (III ou V) e ajuste a tabela nas Premissas.</t>
        </is>
      </c>
    </row>
    <row r="28">
      <c r="A28" s="2" t="inlineStr">
        <is>
          <t>⚠ As fórmulas estão protegidas: só as células amarelas aceitam edição. Para liberar: Revisão &gt; Desproteger Planilha (sem senha).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5" customWidth="1" min="4" max="4"/>
    <col width="58" customWidth="1" min="5" max="5"/>
  </cols>
  <sheetData>
    <row r="1">
      <c r="A1" s="4" t="inlineStr">
        <is>
          <t>PREMISSAS — edite as células amarelas</t>
        </is>
      </c>
      <c r="B1" s="5" t="n"/>
      <c r="C1" s="5" t="n"/>
      <c r="D1" s="5" t="n"/>
    </row>
    <row r="2">
      <c r="A2" t="inlineStr">
        <is>
          <t>Mensalidade — curso (por aluno)</t>
        </is>
      </c>
      <c r="B2" s="6" t="n">
        <v>280</v>
      </c>
    </row>
    <row r="3">
      <c r="A3" t="inlineStr">
        <is>
          <t>Matrícula (por aluno novo)</t>
        </is>
      </c>
      <c r="B3" s="6" t="n">
        <v>200</v>
      </c>
    </row>
    <row r="4">
      <c r="A4" t="inlineStr">
        <is>
          <t>Material — preço de venda (12x no cartão)</t>
        </is>
      </c>
      <c r="B4" s="6" t="n">
        <v>900</v>
      </c>
    </row>
    <row r="5">
      <c r="A5" t="inlineStr">
        <is>
          <t>Material — recebido à vista com antecipação</t>
        </is>
      </c>
      <c r="B5" s="6" t="n">
        <v>810</v>
      </c>
      <c r="E5" s="7" t="inlineStr">
        <is>
          <t>~10% de taxa de antecipação do cartão.</t>
        </is>
      </c>
    </row>
    <row r="6">
      <c r="A6" t="inlineStr">
        <is>
          <t>Material — custo por aluno (pago em 12x)</t>
        </is>
      </c>
      <c r="B6" s="6" t="n">
        <v>375</v>
      </c>
    </row>
    <row r="7">
      <c r="A7" s="8" t="inlineStr">
        <is>
          <t>Taxas do modelo</t>
        </is>
      </c>
      <c r="B7" s="9" t="n"/>
      <c r="C7" s="9" t="n"/>
      <c r="D7" s="9" t="n"/>
    </row>
    <row r="8">
      <c r="A8" t="inlineStr">
        <is>
          <t>Desistência mensal (% da base)</t>
        </is>
      </c>
      <c r="B8" s="10" t="n">
        <v>0.1</v>
      </c>
    </row>
    <row r="9">
      <c r="A9" t="inlineStr">
        <is>
          <t>Inadimplência (% da mensalidade)</t>
        </is>
      </c>
      <c r="B9" s="10" t="n">
        <v>0.1</v>
      </c>
    </row>
    <row r="10">
      <c r="A10" t="inlineStr">
        <is>
          <t>Comissão do vendedor por matrícula</t>
        </is>
      </c>
      <c r="B10" s="6" t="n">
        <v>40</v>
      </c>
      <c r="E10" s="7" t="inlineStr">
        <is>
          <t>Só o vendedor recebe comissão; conta a partir do mês em que ele entra.</t>
        </is>
      </c>
    </row>
    <row r="11">
      <c r="A11" t="inlineStr">
        <is>
          <t>Encargos mensais sobre CLT (FGTS e provisões)</t>
        </is>
      </c>
      <c r="B11" s="10" t="n">
        <v>0.1</v>
      </c>
      <c r="E11" s="7" t="inlineStr">
        <is>
          <t>No Simples o INSS patronal já está no DAS. 13º e férias saem como desembolso próprio.</t>
        </is>
      </c>
    </row>
    <row r="12">
      <c r="A12" t="inlineStr">
        <is>
          <t>Vale-transporte / benefícios por CLT (R$/mês)</t>
        </is>
      </c>
      <c r="B12" s="6" t="n">
        <v>200</v>
      </c>
    </row>
    <row r="13">
      <c r="A13" s="8" t="inlineStr">
        <is>
          <t>Equipe — salário, vínculo e mês de entrada</t>
        </is>
      </c>
      <c r="B13" s="11" t="inlineStr">
        <is>
          <t>Salário</t>
        </is>
      </c>
      <c r="C13" s="11" t="inlineStr">
        <is>
          <t>CLT? 1/0</t>
        </is>
      </c>
      <c r="D13" s="11" t="inlineStr">
        <is>
          <t>Entra no período</t>
        </is>
      </c>
    </row>
    <row r="14">
      <c r="A14" s="12" t="inlineStr">
        <is>
          <t>Vendedor (recebe a comissão)</t>
        </is>
      </c>
      <c r="B14" s="6" t="n">
        <v>2100</v>
      </c>
      <c r="C14" s="13" t="n">
        <v>1</v>
      </c>
      <c r="D14" s="13" t="n">
        <v>2</v>
      </c>
      <c r="E14" s="7" t="inlineStr">
        <is>
          <t>Período: 0 = Out (obras) · 1 = Nov (obras) · 2 = Dez (M1, abertura) · 3 = Jan (M2) … 17 = Mar (M16).</t>
        </is>
      </c>
    </row>
    <row r="15">
      <c r="A15" s="12" t="inlineStr">
        <is>
          <t>Recepção</t>
        </is>
      </c>
      <c r="B15" s="6" t="n">
        <v>2000</v>
      </c>
      <c r="C15" s="13" t="n">
        <v>1</v>
      </c>
      <c r="D15" s="13" t="n">
        <v>2</v>
      </c>
    </row>
    <row r="16">
      <c r="A16" s="12" t="inlineStr">
        <is>
          <t>Estagiário</t>
        </is>
      </c>
      <c r="B16" s="6" t="n">
        <v>1200</v>
      </c>
      <c r="C16" s="13" t="n">
        <v>0</v>
      </c>
      <c r="D16" s="13" t="n">
        <v>2</v>
      </c>
    </row>
    <row r="17">
      <c r="A17" s="12" t="inlineStr">
        <is>
          <t>Administrador</t>
        </is>
      </c>
      <c r="B17" s="6" t="n">
        <v>6000</v>
      </c>
      <c r="C17" s="13" t="n">
        <v>0</v>
      </c>
      <c r="D17" s="13" t="n">
        <v>2</v>
      </c>
    </row>
    <row r="18">
      <c r="A18" s="12" t="inlineStr">
        <is>
          <t>Auxiliar de limpeza</t>
        </is>
      </c>
      <c r="B18" s="6" t="n">
        <v>1500</v>
      </c>
      <c r="C18" s="13" t="n">
        <v>1</v>
      </c>
      <c r="D18" s="13" t="n">
        <v>2</v>
      </c>
    </row>
    <row r="19">
      <c r="A19" s="12" t="inlineStr">
        <is>
          <t>(livre — adicione aqui)</t>
        </is>
      </c>
      <c r="B19" s="6" t="n">
        <v>0</v>
      </c>
      <c r="C19" s="13" t="n">
        <v>1</v>
      </c>
      <c r="D19" s="13" t="n">
        <v>2</v>
      </c>
    </row>
    <row r="20">
      <c r="A20" s="12" t="inlineStr">
        <is>
          <t>(livre)</t>
        </is>
      </c>
      <c r="B20" s="6" t="n">
        <v>0</v>
      </c>
      <c r="C20" s="13" t="n">
        <v>1</v>
      </c>
      <c r="D20" s="13" t="n">
        <v>2</v>
      </c>
    </row>
    <row r="21">
      <c r="A21" s="14" t="inlineStr">
        <is>
          <t>Folha com todos ativos (referência)</t>
        </is>
      </c>
      <c r="B21" s="15">
        <f>SUMPRODUCT($B$14:$B$20,1+$C$14:$C$20*$B$11)</f>
        <v/>
      </c>
    </row>
    <row r="22">
      <c r="A22" s="8" t="inlineStr">
        <is>
          <t>Professores — dimensionados pela capacidade das salas</t>
        </is>
      </c>
      <c r="B22" s="9" t="n"/>
      <c r="C22" s="9" t="n"/>
      <c r="D22" s="9" t="n"/>
    </row>
    <row r="23">
      <c r="A23" t="inlineStr">
        <is>
          <t>Professor CLT (salário base, cada)</t>
        </is>
      </c>
      <c r="B23" s="6" t="n">
        <v>1200</v>
      </c>
    </row>
    <row r="24">
      <c r="A24" t="inlineStr">
        <is>
          <t>Carga contratada (h-aula/semana)</t>
        </is>
      </c>
      <c r="B24" s="6" t="n">
        <v>20</v>
      </c>
    </row>
    <row r="25">
      <c r="A25" t="inlineStr">
        <is>
          <t>Coeficiente de aproveitamento da grade</t>
        </is>
      </c>
      <c r="B25" s="10" t="n">
        <v>0.7</v>
      </c>
      <c r="E25" s="7" t="inlineStr">
        <is>
          <t>A demanda concentra nos horários de pico.</t>
        </is>
      </c>
    </row>
    <row r="26">
      <c r="A26" t="inlineStr">
        <is>
          <t>Salas de inglês</t>
        </is>
      </c>
      <c r="B26" s="13" t="n">
        <v>4</v>
      </c>
    </row>
    <row r="27">
      <c r="A27" t="inlineStr">
        <is>
          <t>Capacidade da sala de inglês</t>
        </is>
      </c>
      <c r="B27" s="13" t="n">
        <v>8</v>
      </c>
    </row>
    <row r="28">
      <c r="A28" t="inlineStr">
        <is>
          <t>Aulas de inglês por aluno (h/semana)</t>
        </is>
      </c>
      <c r="B28" s="16" t="n">
        <v>2</v>
      </c>
    </row>
    <row r="29">
      <c r="A29" t="inlineStr">
        <is>
          <t>Salas de informática</t>
        </is>
      </c>
      <c r="B29" s="13" t="n">
        <v>1</v>
      </c>
    </row>
    <row r="30">
      <c r="A30" t="inlineStr">
        <is>
          <t>Capacidade da sala de informática</t>
        </is>
      </c>
      <c r="B30" s="13" t="n">
        <v>10</v>
      </c>
    </row>
    <row r="31">
      <c r="A31" t="inlineStr">
        <is>
          <t>Aulas de informática por aluno (h/semana)</t>
        </is>
      </c>
      <c r="B31" s="16" t="n">
        <v>1</v>
      </c>
    </row>
    <row r="32">
      <c r="A32" t="inlineStr">
        <is>
          <t>Horas de aula por dia (9h–20h, exceto 12h–13h)</t>
        </is>
      </c>
      <c r="B32" s="13" t="n">
        <v>10</v>
      </c>
    </row>
    <row r="33">
      <c r="A33" t="inlineStr">
        <is>
          <t>Dias de aula por semana</t>
        </is>
      </c>
      <c r="B33" s="13" t="n">
        <v>5</v>
      </c>
    </row>
    <row r="34">
      <c r="A34" s="14" t="inlineStr">
        <is>
          <t>Horas-aula efetivas por professor/semana</t>
        </is>
      </c>
      <c r="B34" s="17">
        <f>B24*B25</f>
        <v/>
      </c>
    </row>
    <row r="35">
      <c r="A35" s="14" t="inlineStr">
        <is>
          <t>Custo por professor/mês (salário + encargos)</t>
        </is>
      </c>
      <c r="B35" s="15">
        <f>B23*(1+B11)</f>
        <v/>
      </c>
    </row>
    <row r="36">
      <c r="A36" s="14" t="inlineStr">
        <is>
          <t>Teto físico de alunos pelas salas</t>
        </is>
      </c>
      <c r="B36" s="18">
        <f>MIN(B26*B32*B33*B25/B28*B27,B29*B32*B33*B25/B31*B30)</f>
        <v/>
      </c>
    </row>
    <row r="37">
      <c r="A37" t="inlineStr">
        <is>
          <t>% dos alunos que fazem inglês</t>
        </is>
      </c>
      <c r="B37" s="10" t="n">
        <v>1</v>
      </c>
    </row>
    <row r="38">
      <c r="A38" t="inlineStr">
        <is>
          <t>% dos alunos que fazem informática</t>
        </is>
      </c>
      <c r="B38" s="10" t="n">
        <v>1</v>
      </c>
    </row>
    <row r="40">
      <c r="A40" s="8" t="inlineStr">
        <is>
          <t>13º e férias — saem do caixa concentrados</t>
        </is>
      </c>
      <c r="B40" s="9" t="n"/>
      <c r="C40" s="9" t="n"/>
      <c r="D40" s="9" t="n"/>
    </row>
    <row r="41">
      <c r="A41" t="inlineStr">
        <is>
          <t>Pagar 13º em dezembro? (1 = sim)</t>
        </is>
      </c>
      <c r="B41" s="13" t="n">
        <v>1</v>
      </c>
      <c r="E41" s="7" t="inlineStr">
        <is>
          <t>Proporcional aos meses trabalhados no ano civil.</t>
        </is>
      </c>
    </row>
    <row r="42">
      <c r="A42" t="inlineStr">
        <is>
          <t>Pagar férias + 1/3 ao completar 12 meses? (1 = sim)</t>
        </is>
      </c>
      <c r="B42" s="13" t="n">
        <v>1</v>
      </c>
    </row>
    <row r="44">
      <c r="A44" s="8" t="inlineStr">
        <is>
          <t>Sazonalidade — multiplicador do churn por mês</t>
        </is>
      </c>
      <c r="B44" s="9" t="n"/>
      <c r="C44" s="9" t="n"/>
      <c r="D44" s="9" t="n"/>
    </row>
    <row r="45">
      <c r="A45" t="inlineStr">
        <is>
          <t>Janeiro</t>
        </is>
      </c>
      <c r="B45" s="19" t="n">
        <v>1.5</v>
      </c>
      <c r="E45" s="7" t="inlineStr">
        <is>
          <t>1,00× = churn normal. Jan e jul são férias: mais desistências.</t>
        </is>
      </c>
    </row>
    <row r="46">
      <c r="A46" t="inlineStr">
        <is>
          <t>Fevereiro</t>
        </is>
      </c>
      <c r="B46" s="19" t="n">
        <v>1</v>
      </c>
    </row>
    <row r="47">
      <c r="A47" t="inlineStr">
        <is>
          <t>Março</t>
        </is>
      </c>
      <c r="B47" s="19" t="n">
        <v>1</v>
      </c>
    </row>
    <row r="48">
      <c r="A48" t="inlineStr">
        <is>
          <t>Abril</t>
        </is>
      </c>
      <c r="B48" s="19" t="n">
        <v>1</v>
      </c>
    </row>
    <row r="49">
      <c r="A49" t="inlineStr">
        <is>
          <t>Maio</t>
        </is>
      </c>
      <c r="B49" s="19" t="n">
        <v>1</v>
      </c>
    </row>
    <row r="50">
      <c r="A50" t="inlineStr">
        <is>
          <t>Junho</t>
        </is>
      </c>
      <c r="B50" s="19" t="n">
        <v>1.1</v>
      </c>
    </row>
    <row r="51">
      <c r="A51" t="inlineStr">
        <is>
          <t>Julho</t>
        </is>
      </c>
      <c r="B51" s="19" t="n">
        <v>1.4</v>
      </c>
    </row>
    <row r="52">
      <c r="A52" t="inlineStr">
        <is>
          <t>Agosto</t>
        </is>
      </c>
      <c r="B52" s="19" t="n">
        <v>1</v>
      </c>
    </row>
    <row r="53">
      <c r="A53" t="inlineStr">
        <is>
          <t>Setembro</t>
        </is>
      </c>
      <c r="B53" s="19" t="n">
        <v>1</v>
      </c>
    </row>
    <row r="54">
      <c r="A54" t="inlineStr">
        <is>
          <t>Outubro</t>
        </is>
      </c>
      <c r="B54" s="19" t="n">
        <v>1</v>
      </c>
    </row>
    <row r="55">
      <c r="A55" t="inlineStr">
        <is>
          <t>Novembro</t>
        </is>
      </c>
      <c r="B55" s="19" t="n">
        <v>1</v>
      </c>
    </row>
    <row r="56">
      <c r="A56" t="inlineStr">
        <is>
          <t>Dezembro</t>
        </is>
      </c>
      <c r="B56" s="19" t="n">
        <v>1.2</v>
      </c>
    </row>
    <row r="58">
      <c r="A58" s="8" t="inlineStr">
        <is>
          <t>Marketing e CAC — quanto investimento vira matrícula</t>
        </is>
      </c>
      <c r="B58" s="9" t="n"/>
      <c r="C58" s="9" t="n"/>
      <c r="D58" s="9" t="n"/>
    </row>
    <row r="59">
      <c r="A59" t="inlineStr">
        <is>
          <t>Origem das matrículas (1 = digito eu · 2 = marketing ÷ CAC · 3 = soma dos canais)</t>
        </is>
      </c>
      <c r="B59" s="13" t="n">
        <v>1</v>
      </c>
      <c r="E59" s="7" t="inlineStr">
        <is>
          <t>Modo 2: matrículas = marketing do período ÷ CAC. Modo 3: matrículas = soma da aba 'Canais de aquisição'.</t>
        </is>
      </c>
    </row>
    <row r="60">
      <c r="A60" t="inlineStr">
        <is>
          <t>CAC — custo de aquisição por aluno (R$)</t>
        </is>
      </c>
      <c r="B60" s="6" t="n">
        <v>200</v>
      </c>
      <c r="E60" s="7" t="inlineStr">
        <is>
          <t>Ex.: R$ 6.000 de marketing com CAC de R$ 200 = 30 matrículas no mês.</t>
        </is>
      </c>
    </row>
    <row r="61">
      <c r="E61" s="20" t="inlineStr">
        <is>
          <t>No modo 2, lance marketing também em out/nov na aba 'Custos mês a mês' — sem verba nesses meses a pré-venda fica zerada.</t>
        </is>
      </c>
    </row>
    <row r="62">
      <c r="A62" t="inlineStr">
        <is>
          <t>Reserva para imprevistos da obra (% sobre reforma + abertura)</t>
        </is>
      </c>
      <c r="B62" s="10" t="n">
        <v>0.15</v>
      </c>
    </row>
    <row r="64">
      <c r="A64" s="8" t="inlineStr">
        <is>
          <t>Simples Nacional — tabela progressiva (Anexo III)</t>
        </is>
      </c>
      <c r="B64" s="9" t="n"/>
      <c r="C64" s="9" t="n"/>
      <c r="D64" s="9" t="n"/>
    </row>
    <row r="65">
      <c r="A65" s="21" t="inlineStr">
        <is>
          <t>Faixa</t>
        </is>
      </c>
      <c r="B65" s="21" t="inlineStr">
        <is>
          <t>RBT12 até</t>
        </is>
      </c>
      <c r="C65" s="21" t="inlineStr">
        <is>
          <t>Alíquota</t>
        </is>
      </c>
      <c r="D65" s="21" t="inlineStr">
        <is>
          <t>Dedução</t>
        </is>
      </c>
    </row>
    <row r="66">
      <c r="A66" t="inlineStr">
        <is>
          <t>Faixa 1</t>
        </is>
      </c>
      <c r="B66" s="6" t="n">
        <v>180000</v>
      </c>
      <c r="C66" s="22" t="n">
        <v>0.06</v>
      </c>
      <c r="D66" s="6" t="n">
        <v>0</v>
      </c>
      <c r="E66" s="20" t="inlineStr">
        <is>
          <t>Alíquota EFETIVA = (RBT12 × alíquota − dedução) ÷ RBT12. Empresa nova: RBT12 proporcionalizado. CONFIRME o anexo com o contador.</t>
        </is>
      </c>
    </row>
    <row r="67">
      <c r="A67" t="inlineStr">
        <is>
          <t>Faixa 2</t>
        </is>
      </c>
      <c r="B67" s="6" t="n">
        <v>360000</v>
      </c>
      <c r="C67" s="22" t="n">
        <v>0.112</v>
      </c>
      <c r="D67" s="6" t="n">
        <v>9360</v>
      </c>
    </row>
    <row r="68">
      <c r="A68" t="inlineStr">
        <is>
          <t>Faixa 3</t>
        </is>
      </c>
      <c r="B68" s="6" t="n">
        <v>720000</v>
      </c>
      <c r="C68" s="22" t="n">
        <v>0.135</v>
      </c>
      <c r="D68" s="6" t="n">
        <v>17640</v>
      </c>
    </row>
    <row r="69">
      <c r="A69" t="inlineStr">
        <is>
          <t>Faixa 4</t>
        </is>
      </c>
      <c r="B69" s="6" t="n">
        <v>1800000</v>
      </c>
      <c r="C69" s="22" t="n">
        <v>0.16</v>
      </c>
      <c r="D69" s="6" t="n">
        <v>35640</v>
      </c>
    </row>
    <row r="70">
      <c r="A70" t="inlineStr">
        <is>
          <t>Faixa 5</t>
        </is>
      </c>
      <c r="B70" s="6" t="n">
        <v>3600000</v>
      </c>
      <c r="C70" s="22" t="n">
        <v>0.21</v>
      </c>
      <c r="D70" s="6" t="n">
        <v>125640</v>
      </c>
    </row>
    <row r="71">
      <c r="A71" t="inlineStr">
        <is>
          <t>Faixa 6</t>
        </is>
      </c>
      <c r="B71" s="6" t="n">
        <v>4800000</v>
      </c>
      <c r="C71" s="22" t="n">
        <v>0.33</v>
      </c>
      <c r="D71" s="6" t="n">
        <v>648000</v>
      </c>
    </row>
    <row r="73">
      <c r="A73" s="8" t="inlineStr">
        <is>
          <t>Custos — valor padrão (a aba 'Custos mês a mês' varia por período)</t>
        </is>
      </c>
      <c r="B73" s="9" t="n"/>
      <c r="C73" s="9" t="n"/>
      <c r="D73" s="9" t="n"/>
    </row>
    <row r="74">
      <c r="A74" t="inlineStr">
        <is>
          <t>Aluguel do espaço</t>
        </is>
      </c>
      <c r="B74" s="6" t="n">
        <v>12000</v>
      </c>
    </row>
    <row r="75">
      <c r="A75" t="inlineStr">
        <is>
          <t>Água</t>
        </is>
      </c>
      <c r="B75" s="6" t="n">
        <v>300</v>
      </c>
    </row>
    <row r="76">
      <c r="A76" t="inlineStr">
        <is>
          <t>Luz</t>
        </is>
      </c>
      <c r="B76" s="6" t="n">
        <v>1000</v>
      </c>
    </row>
    <row r="77">
      <c r="A77" t="inlineStr">
        <is>
          <t>Telefone</t>
        </is>
      </c>
      <c r="B77" s="6" t="n">
        <v>0</v>
      </c>
    </row>
    <row r="78">
      <c r="A78" t="inlineStr">
        <is>
          <t>Internet</t>
        </is>
      </c>
      <c r="B78" s="6" t="n">
        <v>200</v>
      </c>
    </row>
    <row r="79">
      <c r="A79" t="inlineStr">
        <is>
          <t>Sistema de gestão DiscoverON</t>
        </is>
      </c>
      <c r="B79" s="6" t="n">
        <v>127</v>
      </c>
    </row>
    <row r="80">
      <c r="A80" t="inlineStr">
        <is>
          <t>Itens para aula</t>
        </is>
      </c>
      <c r="B80" s="6" t="n">
        <v>500</v>
      </c>
    </row>
    <row r="81">
      <c r="A81" t="inlineStr">
        <is>
          <t>Materiais de limpeza + higiene</t>
        </is>
      </c>
      <c r="B81" s="6" t="n">
        <v>250</v>
      </c>
    </row>
    <row r="82">
      <c r="A82" t="inlineStr">
        <is>
          <t>Brindes</t>
        </is>
      </c>
      <c r="B82" s="6" t="n">
        <v>300</v>
      </c>
    </row>
    <row r="83">
      <c r="A83" t="inlineStr">
        <is>
          <t>Marketing</t>
        </is>
      </c>
      <c r="B83" s="6" t="n">
        <v>750</v>
      </c>
    </row>
    <row r="84">
      <c r="A84" t="inlineStr">
        <is>
          <t>Aluguel dos computadores</t>
        </is>
      </c>
      <c r="B84" s="6" t="n">
        <v>2720</v>
      </c>
    </row>
    <row r="85">
      <c r="A85" t="inlineStr">
        <is>
          <t>Seguro empresarial</t>
        </is>
      </c>
      <c r="B85" s="6" t="n">
        <v>200</v>
      </c>
    </row>
    <row r="86">
      <c r="A86" t="inlineStr">
        <is>
          <t>Taxas bancárias + gasolina</t>
        </is>
      </c>
      <c r="B86" s="6" t="n">
        <v>1000</v>
      </c>
    </row>
    <row r="87">
      <c r="A87" t="inlineStr">
        <is>
          <t>Custos operacionais (contab., manut., licenças…)</t>
        </is>
      </c>
      <c r="B87" s="6" t="n">
        <v>4200</v>
      </c>
    </row>
    <row r="88">
      <c r="A88" t="inlineStr">
        <is>
          <t>Pró-labore</t>
        </is>
      </c>
      <c r="B88" s="6" t="n">
        <v>0</v>
      </c>
    </row>
    <row r="90">
      <c r="A90" s="14" t="inlineStr">
        <is>
          <t>Break-even de alunos (mensalidade − professores)</t>
        </is>
      </c>
      <c r="B90" s="18">
        <f>ROUNDUP((SUM(B74:B88)+B21+SUMPRODUCT(($C$14:$C$20)*($B$14:$B$20&gt;0))*B12)/((B2*(1-B9)-B2*'Cenário Moderado'!$S$20)-(B28/B27+B31/B30)*B35/B34),0)</f>
        <v/>
      </c>
      <c r="E90" s="7" t="inlineStr">
        <is>
          <t>Usa a alíquota efetiva já madura (último mês do Moderado), não os 6% da 1ª faixa.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Custos por período — sobrescreva qualquer célula</t>
        </is>
      </c>
      <c r="B1" s="23" t="inlineStr">
        <is>
          <t>Out (obras)</t>
        </is>
      </c>
      <c r="C1" s="23" t="inlineStr">
        <is>
          <t>Nov (obras)</t>
        </is>
      </c>
      <c r="D1" s="23" t="inlineStr">
        <is>
          <t>Dez (M1)</t>
        </is>
      </c>
      <c r="E1" s="23" t="inlineStr">
        <is>
          <t>Jan (M2)</t>
        </is>
      </c>
      <c r="F1" s="23" t="inlineStr">
        <is>
          <t>Fev (M3)</t>
        </is>
      </c>
      <c r="G1" s="23" t="inlineStr">
        <is>
          <t>Mar (M4)</t>
        </is>
      </c>
      <c r="H1" s="23" t="inlineStr">
        <is>
          <t>Abr (M5)</t>
        </is>
      </c>
      <c r="I1" s="23" t="inlineStr">
        <is>
          <t>Mai (M6)</t>
        </is>
      </c>
      <c r="J1" s="23" t="inlineStr">
        <is>
          <t>Jun (M7)</t>
        </is>
      </c>
      <c r="K1" s="23" t="inlineStr">
        <is>
          <t>Jul (M8)</t>
        </is>
      </c>
      <c r="L1" s="23" t="inlineStr">
        <is>
          <t>Ago (M9)</t>
        </is>
      </c>
      <c r="M1" s="23" t="inlineStr">
        <is>
          <t>Set (M10)</t>
        </is>
      </c>
      <c r="N1" s="23" t="inlineStr">
        <is>
          <t>Out (M11)</t>
        </is>
      </c>
      <c r="O1" s="23" t="inlineStr">
        <is>
          <t>Nov (M12)</t>
        </is>
      </c>
      <c r="P1" s="23" t="inlineStr">
        <is>
          <t>Dez (M13)</t>
        </is>
      </c>
      <c r="Q1" s="23" t="inlineStr">
        <is>
          <t>Jan (M14)</t>
        </is>
      </c>
      <c r="R1" s="23" t="inlineStr">
        <is>
          <t>Fev (M15)</t>
        </is>
      </c>
      <c r="S1" s="23" t="inlineStr">
        <is>
          <t>Mar (M16)</t>
        </is>
      </c>
    </row>
    <row r="2">
      <c r="A2" t="inlineStr">
        <is>
          <t>Aluguel do espaço</t>
        </is>
      </c>
      <c r="B2" s="6" t="n">
        <v>0</v>
      </c>
      <c r="C2" s="6" t="n">
        <v>0</v>
      </c>
      <c r="D2" s="6">
        <f>Premissas!$B$74</f>
        <v/>
      </c>
      <c r="E2" s="6">
        <f>Premissas!$B$74</f>
        <v/>
      </c>
      <c r="F2" s="6">
        <f>Premissas!$B$74</f>
        <v/>
      </c>
      <c r="G2" s="6">
        <f>Premissas!$B$74</f>
        <v/>
      </c>
      <c r="H2" s="6">
        <f>Premissas!$B$74</f>
        <v/>
      </c>
      <c r="I2" s="6">
        <f>Premissas!$B$74</f>
        <v/>
      </c>
      <c r="J2" s="6">
        <f>Premissas!$B$74</f>
        <v/>
      </c>
      <c r="K2" s="6">
        <f>Premissas!$B$74</f>
        <v/>
      </c>
      <c r="L2" s="6">
        <f>Premissas!$B$74</f>
        <v/>
      </c>
      <c r="M2" s="6">
        <f>Premissas!$B$74</f>
        <v/>
      </c>
      <c r="N2" s="6">
        <f>Premissas!$B$74</f>
        <v/>
      </c>
      <c r="O2" s="6">
        <f>Premissas!$B$74</f>
        <v/>
      </c>
      <c r="P2" s="6">
        <f>Premissas!$B$74</f>
        <v/>
      </c>
      <c r="Q2" s="6">
        <f>Premissas!$B$74</f>
        <v/>
      </c>
      <c r="R2" s="6">
        <f>Premissas!$B$74</f>
        <v/>
      </c>
      <c r="S2" s="6">
        <f>Premissas!$B$74</f>
        <v/>
      </c>
    </row>
    <row r="3">
      <c r="A3" t="inlineStr">
        <is>
          <t>Água</t>
        </is>
      </c>
      <c r="B3" s="6" t="n">
        <v>0</v>
      </c>
      <c r="C3" s="6" t="n">
        <v>0</v>
      </c>
      <c r="D3" s="6">
        <f>Premissas!$B$75</f>
        <v/>
      </c>
      <c r="E3" s="6">
        <f>Premissas!$B$75</f>
        <v/>
      </c>
      <c r="F3" s="6">
        <f>Premissas!$B$75</f>
        <v/>
      </c>
      <c r="G3" s="6">
        <f>Premissas!$B$75</f>
        <v/>
      </c>
      <c r="H3" s="6">
        <f>Premissas!$B$75</f>
        <v/>
      </c>
      <c r="I3" s="6">
        <f>Premissas!$B$75</f>
        <v/>
      </c>
      <c r="J3" s="6">
        <f>Premissas!$B$75</f>
        <v/>
      </c>
      <c r="K3" s="6">
        <f>Premissas!$B$75</f>
        <v/>
      </c>
      <c r="L3" s="6">
        <f>Premissas!$B$75</f>
        <v/>
      </c>
      <c r="M3" s="6">
        <f>Premissas!$B$75</f>
        <v/>
      </c>
      <c r="N3" s="6">
        <f>Premissas!$B$75</f>
        <v/>
      </c>
      <c r="O3" s="6">
        <f>Premissas!$B$75</f>
        <v/>
      </c>
      <c r="P3" s="6">
        <f>Premissas!$B$75</f>
        <v/>
      </c>
      <c r="Q3" s="6">
        <f>Premissas!$B$75</f>
        <v/>
      </c>
      <c r="R3" s="6">
        <f>Premissas!$B$75</f>
        <v/>
      </c>
      <c r="S3" s="6">
        <f>Premissas!$B$75</f>
        <v/>
      </c>
    </row>
    <row r="4">
      <c r="A4" t="inlineStr">
        <is>
          <t>Luz</t>
        </is>
      </c>
      <c r="B4" s="6" t="n">
        <v>0</v>
      </c>
      <c r="C4" s="6" t="n">
        <v>0</v>
      </c>
      <c r="D4" s="6">
        <f>Premissas!$B$76</f>
        <v/>
      </c>
      <c r="E4" s="6">
        <f>Premissas!$B$76</f>
        <v/>
      </c>
      <c r="F4" s="6">
        <f>Premissas!$B$76</f>
        <v/>
      </c>
      <c r="G4" s="6">
        <f>Premissas!$B$76</f>
        <v/>
      </c>
      <c r="H4" s="6">
        <f>Premissas!$B$76</f>
        <v/>
      </c>
      <c r="I4" s="6">
        <f>Premissas!$B$76</f>
        <v/>
      </c>
      <c r="J4" s="6">
        <f>Premissas!$B$76</f>
        <v/>
      </c>
      <c r="K4" s="6">
        <f>Premissas!$B$76</f>
        <v/>
      </c>
      <c r="L4" s="6">
        <f>Premissas!$B$76</f>
        <v/>
      </c>
      <c r="M4" s="6">
        <f>Premissas!$B$76</f>
        <v/>
      </c>
      <c r="N4" s="6">
        <f>Premissas!$B$76</f>
        <v/>
      </c>
      <c r="O4" s="6">
        <f>Premissas!$B$76</f>
        <v/>
      </c>
      <c r="P4" s="6">
        <f>Premissas!$B$76</f>
        <v/>
      </c>
      <c r="Q4" s="6">
        <f>Premissas!$B$76</f>
        <v/>
      </c>
      <c r="R4" s="6">
        <f>Premissas!$B$76</f>
        <v/>
      </c>
      <c r="S4" s="6">
        <f>Premissas!$B$76</f>
        <v/>
      </c>
    </row>
    <row r="5">
      <c r="A5" t="inlineStr">
        <is>
          <t>Telefone</t>
        </is>
      </c>
      <c r="B5" s="6" t="n">
        <v>0</v>
      </c>
      <c r="C5" s="6" t="n">
        <v>0</v>
      </c>
      <c r="D5" s="6">
        <f>Premissas!$B$77</f>
        <v/>
      </c>
      <c r="E5" s="6">
        <f>Premissas!$B$77</f>
        <v/>
      </c>
      <c r="F5" s="6">
        <f>Premissas!$B$77</f>
        <v/>
      </c>
      <c r="G5" s="6">
        <f>Premissas!$B$77</f>
        <v/>
      </c>
      <c r="H5" s="6">
        <f>Premissas!$B$77</f>
        <v/>
      </c>
      <c r="I5" s="6">
        <f>Premissas!$B$77</f>
        <v/>
      </c>
      <c r="J5" s="6">
        <f>Premissas!$B$77</f>
        <v/>
      </c>
      <c r="K5" s="6">
        <f>Premissas!$B$77</f>
        <v/>
      </c>
      <c r="L5" s="6">
        <f>Premissas!$B$77</f>
        <v/>
      </c>
      <c r="M5" s="6">
        <f>Premissas!$B$77</f>
        <v/>
      </c>
      <c r="N5" s="6">
        <f>Premissas!$B$77</f>
        <v/>
      </c>
      <c r="O5" s="6">
        <f>Premissas!$B$77</f>
        <v/>
      </c>
      <c r="P5" s="6">
        <f>Premissas!$B$77</f>
        <v/>
      </c>
      <c r="Q5" s="6">
        <f>Premissas!$B$77</f>
        <v/>
      </c>
      <c r="R5" s="6">
        <f>Premissas!$B$77</f>
        <v/>
      </c>
      <c r="S5" s="6">
        <f>Premissas!$B$77</f>
        <v/>
      </c>
    </row>
    <row r="6">
      <c r="A6" t="inlineStr">
        <is>
          <t>Internet</t>
        </is>
      </c>
      <c r="B6" s="6" t="n">
        <v>0</v>
      </c>
      <c r="C6" s="6" t="n">
        <v>0</v>
      </c>
      <c r="D6" s="6">
        <f>Premissas!$B$78</f>
        <v/>
      </c>
      <c r="E6" s="6">
        <f>Premissas!$B$78</f>
        <v/>
      </c>
      <c r="F6" s="6">
        <f>Premissas!$B$78</f>
        <v/>
      </c>
      <c r="G6" s="6">
        <f>Premissas!$B$78</f>
        <v/>
      </c>
      <c r="H6" s="6">
        <f>Premissas!$B$78</f>
        <v/>
      </c>
      <c r="I6" s="6">
        <f>Premissas!$B$78</f>
        <v/>
      </c>
      <c r="J6" s="6">
        <f>Premissas!$B$78</f>
        <v/>
      </c>
      <c r="K6" s="6">
        <f>Premissas!$B$78</f>
        <v/>
      </c>
      <c r="L6" s="6">
        <f>Premissas!$B$78</f>
        <v/>
      </c>
      <c r="M6" s="6">
        <f>Premissas!$B$78</f>
        <v/>
      </c>
      <c r="N6" s="6">
        <f>Premissas!$B$78</f>
        <v/>
      </c>
      <c r="O6" s="6">
        <f>Premissas!$B$78</f>
        <v/>
      </c>
      <c r="P6" s="6">
        <f>Premissas!$B$78</f>
        <v/>
      </c>
      <c r="Q6" s="6">
        <f>Premissas!$B$78</f>
        <v/>
      </c>
      <c r="R6" s="6">
        <f>Premissas!$B$78</f>
        <v/>
      </c>
      <c r="S6" s="6">
        <f>Premissas!$B$78</f>
        <v/>
      </c>
    </row>
    <row r="7">
      <c r="A7" t="inlineStr">
        <is>
          <t>Sistema de gestão DiscoverON</t>
        </is>
      </c>
      <c r="B7" s="6" t="n">
        <v>0</v>
      </c>
      <c r="C7" s="6" t="n">
        <v>0</v>
      </c>
      <c r="D7" s="6">
        <f>Premissas!$B$79</f>
        <v/>
      </c>
      <c r="E7" s="6">
        <f>Premissas!$B$79</f>
        <v/>
      </c>
      <c r="F7" s="6">
        <f>Premissas!$B$79</f>
        <v/>
      </c>
      <c r="G7" s="6">
        <f>Premissas!$B$79</f>
        <v/>
      </c>
      <c r="H7" s="6">
        <f>Premissas!$B$79</f>
        <v/>
      </c>
      <c r="I7" s="6">
        <f>Premissas!$B$79</f>
        <v/>
      </c>
      <c r="J7" s="6">
        <f>Premissas!$B$79</f>
        <v/>
      </c>
      <c r="K7" s="6">
        <f>Premissas!$B$79</f>
        <v/>
      </c>
      <c r="L7" s="6">
        <f>Premissas!$B$79</f>
        <v/>
      </c>
      <c r="M7" s="6">
        <f>Premissas!$B$79</f>
        <v/>
      </c>
      <c r="N7" s="6">
        <f>Premissas!$B$79</f>
        <v/>
      </c>
      <c r="O7" s="6">
        <f>Premissas!$B$79</f>
        <v/>
      </c>
      <c r="P7" s="6">
        <f>Premissas!$B$79</f>
        <v/>
      </c>
      <c r="Q7" s="6">
        <f>Premissas!$B$79</f>
        <v/>
      </c>
      <c r="R7" s="6">
        <f>Premissas!$B$79</f>
        <v/>
      </c>
      <c r="S7" s="6">
        <f>Premissas!$B$79</f>
        <v/>
      </c>
    </row>
    <row r="8">
      <c r="A8" t="inlineStr">
        <is>
          <t>Itens para aula</t>
        </is>
      </c>
      <c r="B8" s="6" t="n">
        <v>0</v>
      </c>
      <c r="C8" s="6" t="n">
        <v>0</v>
      </c>
      <c r="D8" s="6">
        <f>Premissas!$B$80</f>
        <v/>
      </c>
      <c r="E8" s="6">
        <f>Premissas!$B$80</f>
        <v/>
      </c>
      <c r="F8" s="6">
        <f>Premissas!$B$80</f>
        <v/>
      </c>
      <c r="G8" s="6">
        <f>Premissas!$B$80</f>
        <v/>
      </c>
      <c r="H8" s="6">
        <f>Premissas!$B$80</f>
        <v/>
      </c>
      <c r="I8" s="6">
        <f>Premissas!$B$80</f>
        <v/>
      </c>
      <c r="J8" s="6">
        <f>Premissas!$B$80</f>
        <v/>
      </c>
      <c r="K8" s="6">
        <f>Premissas!$B$80</f>
        <v/>
      </c>
      <c r="L8" s="6">
        <f>Premissas!$B$80</f>
        <v/>
      </c>
      <c r="M8" s="6">
        <f>Premissas!$B$80</f>
        <v/>
      </c>
      <c r="N8" s="6">
        <f>Premissas!$B$80</f>
        <v/>
      </c>
      <c r="O8" s="6">
        <f>Premissas!$B$80</f>
        <v/>
      </c>
      <c r="P8" s="6">
        <f>Premissas!$B$80</f>
        <v/>
      </c>
      <c r="Q8" s="6">
        <f>Premissas!$B$80</f>
        <v/>
      </c>
      <c r="R8" s="6">
        <f>Premissas!$B$80</f>
        <v/>
      </c>
      <c r="S8" s="6">
        <f>Premissas!$B$80</f>
        <v/>
      </c>
    </row>
    <row r="9">
      <c r="A9" t="inlineStr">
        <is>
          <t>Materiais de limpeza + higiene</t>
        </is>
      </c>
      <c r="B9" s="6" t="n">
        <v>0</v>
      </c>
      <c r="C9" s="6" t="n">
        <v>0</v>
      </c>
      <c r="D9" s="6">
        <f>Premissas!$B$81</f>
        <v/>
      </c>
      <c r="E9" s="6">
        <f>Premissas!$B$81</f>
        <v/>
      </c>
      <c r="F9" s="6">
        <f>Premissas!$B$81</f>
        <v/>
      </c>
      <c r="G9" s="6">
        <f>Premissas!$B$81</f>
        <v/>
      </c>
      <c r="H9" s="6">
        <f>Premissas!$B$81</f>
        <v/>
      </c>
      <c r="I9" s="6">
        <f>Premissas!$B$81</f>
        <v/>
      </c>
      <c r="J9" s="6">
        <f>Premissas!$B$81</f>
        <v/>
      </c>
      <c r="K9" s="6">
        <f>Premissas!$B$81</f>
        <v/>
      </c>
      <c r="L9" s="6">
        <f>Premissas!$B$81</f>
        <v/>
      </c>
      <c r="M9" s="6">
        <f>Premissas!$B$81</f>
        <v/>
      </c>
      <c r="N9" s="6">
        <f>Premissas!$B$81</f>
        <v/>
      </c>
      <c r="O9" s="6">
        <f>Premissas!$B$81</f>
        <v/>
      </c>
      <c r="P9" s="6">
        <f>Premissas!$B$81</f>
        <v/>
      </c>
      <c r="Q9" s="6">
        <f>Premissas!$B$81</f>
        <v/>
      </c>
      <c r="R9" s="6">
        <f>Premissas!$B$81</f>
        <v/>
      </c>
      <c r="S9" s="6">
        <f>Premissas!$B$81</f>
        <v/>
      </c>
    </row>
    <row r="10">
      <c r="A10" t="inlineStr">
        <is>
          <t>Brindes</t>
        </is>
      </c>
      <c r="B10" s="6" t="n">
        <v>0</v>
      </c>
      <c r="C10" s="6" t="n">
        <v>0</v>
      </c>
      <c r="D10" s="6">
        <f>Premissas!$B$82</f>
        <v/>
      </c>
      <c r="E10" s="6">
        <f>Premissas!$B$82</f>
        <v/>
      </c>
      <c r="F10" s="6">
        <f>Premissas!$B$82</f>
        <v/>
      </c>
      <c r="G10" s="6">
        <f>Premissas!$B$82</f>
        <v/>
      </c>
      <c r="H10" s="6">
        <f>Premissas!$B$82</f>
        <v/>
      </c>
      <c r="I10" s="6">
        <f>Premissas!$B$82</f>
        <v/>
      </c>
      <c r="J10" s="6">
        <f>Premissas!$B$82</f>
        <v/>
      </c>
      <c r="K10" s="6">
        <f>Premissas!$B$82</f>
        <v/>
      </c>
      <c r="L10" s="6">
        <f>Premissas!$B$82</f>
        <v/>
      </c>
      <c r="M10" s="6">
        <f>Premissas!$B$82</f>
        <v/>
      </c>
      <c r="N10" s="6">
        <f>Premissas!$B$82</f>
        <v/>
      </c>
      <c r="O10" s="6">
        <f>Premissas!$B$82</f>
        <v/>
      </c>
      <c r="P10" s="6">
        <f>Premissas!$B$82</f>
        <v/>
      </c>
      <c r="Q10" s="6">
        <f>Premissas!$B$82</f>
        <v/>
      </c>
      <c r="R10" s="6">
        <f>Premissas!$B$82</f>
        <v/>
      </c>
      <c r="S10" s="6">
        <f>Premissas!$B$82</f>
        <v/>
      </c>
    </row>
    <row r="11">
      <c r="A11" t="inlineStr">
        <is>
          <t>Marketing</t>
        </is>
      </c>
      <c r="B11" s="6" t="n">
        <v>0</v>
      </c>
      <c r="C11" s="6" t="n">
        <v>0</v>
      </c>
      <c r="D11" s="6">
        <f>Premissas!$B$83</f>
        <v/>
      </c>
      <c r="E11" s="6">
        <f>Premissas!$B$83</f>
        <v/>
      </c>
      <c r="F11" s="6">
        <f>Premissas!$B$83</f>
        <v/>
      </c>
      <c r="G11" s="6">
        <f>Premissas!$B$83</f>
        <v/>
      </c>
      <c r="H11" s="6">
        <f>Premissas!$B$83</f>
        <v/>
      </c>
      <c r="I11" s="6">
        <f>Premissas!$B$83</f>
        <v/>
      </c>
      <c r="J11" s="6">
        <f>Premissas!$B$83</f>
        <v/>
      </c>
      <c r="K11" s="6">
        <f>Premissas!$B$83</f>
        <v/>
      </c>
      <c r="L11" s="6">
        <f>Premissas!$B$83</f>
        <v/>
      </c>
      <c r="M11" s="6">
        <f>Premissas!$B$83</f>
        <v/>
      </c>
      <c r="N11" s="6">
        <f>Premissas!$B$83</f>
        <v/>
      </c>
      <c r="O11" s="6">
        <f>Premissas!$B$83</f>
        <v/>
      </c>
      <c r="P11" s="6">
        <f>Premissas!$B$83</f>
        <v/>
      </c>
      <c r="Q11" s="6">
        <f>Premissas!$B$83</f>
        <v/>
      </c>
      <c r="R11" s="6">
        <f>Premissas!$B$83</f>
        <v/>
      </c>
      <c r="S11" s="6">
        <f>Premissas!$B$83</f>
        <v/>
      </c>
    </row>
    <row r="12">
      <c r="A12" t="inlineStr">
        <is>
          <t>Aluguel dos computadores</t>
        </is>
      </c>
      <c r="B12" s="6" t="n">
        <v>0</v>
      </c>
      <c r="C12" s="6" t="n">
        <v>0</v>
      </c>
      <c r="D12" s="6">
        <f>Premissas!$B$84</f>
        <v/>
      </c>
      <c r="E12" s="6">
        <f>Premissas!$B$84</f>
        <v/>
      </c>
      <c r="F12" s="6">
        <f>Premissas!$B$84</f>
        <v/>
      </c>
      <c r="G12" s="6">
        <f>Premissas!$B$84</f>
        <v/>
      </c>
      <c r="H12" s="6">
        <f>Premissas!$B$84</f>
        <v/>
      </c>
      <c r="I12" s="6">
        <f>Premissas!$B$84</f>
        <v/>
      </c>
      <c r="J12" s="6">
        <f>Premissas!$B$84</f>
        <v/>
      </c>
      <c r="K12" s="6">
        <f>Premissas!$B$84</f>
        <v/>
      </c>
      <c r="L12" s="6">
        <f>Premissas!$B$84</f>
        <v/>
      </c>
      <c r="M12" s="6">
        <f>Premissas!$B$84</f>
        <v/>
      </c>
      <c r="N12" s="6">
        <f>Premissas!$B$84</f>
        <v/>
      </c>
      <c r="O12" s="6">
        <f>Premissas!$B$84</f>
        <v/>
      </c>
      <c r="P12" s="6">
        <f>Premissas!$B$84</f>
        <v/>
      </c>
      <c r="Q12" s="6">
        <f>Premissas!$B$84</f>
        <v/>
      </c>
      <c r="R12" s="6">
        <f>Premissas!$B$84</f>
        <v/>
      </c>
      <c r="S12" s="6">
        <f>Premissas!$B$84</f>
        <v/>
      </c>
    </row>
    <row r="13">
      <c r="A13" t="inlineStr">
        <is>
          <t>Seguro empresarial</t>
        </is>
      </c>
      <c r="B13" s="6" t="n">
        <v>0</v>
      </c>
      <c r="C13" s="6" t="n">
        <v>0</v>
      </c>
      <c r="D13" s="6">
        <f>Premissas!$B$85</f>
        <v/>
      </c>
      <c r="E13" s="6">
        <f>Premissas!$B$85</f>
        <v/>
      </c>
      <c r="F13" s="6">
        <f>Premissas!$B$85</f>
        <v/>
      </c>
      <c r="G13" s="6">
        <f>Premissas!$B$85</f>
        <v/>
      </c>
      <c r="H13" s="6">
        <f>Premissas!$B$85</f>
        <v/>
      </c>
      <c r="I13" s="6">
        <f>Premissas!$B$85</f>
        <v/>
      </c>
      <c r="J13" s="6">
        <f>Premissas!$B$85</f>
        <v/>
      </c>
      <c r="K13" s="6">
        <f>Premissas!$B$85</f>
        <v/>
      </c>
      <c r="L13" s="6">
        <f>Premissas!$B$85</f>
        <v/>
      </c>
      <c r="M13" s="6">
        <f>Premissas!$B$85</f>
        <v/>
      </c>
      <c r="N13" s="6">
        <f>Premissas!$B$85</f>
        <v/>
      </c>
      <c r="O13" s="6">
        <f>Premissas!$B$85</f>
        <v/>
      </c>
      <c r="P13" s="6">
        <f>Premissas!$B$85</f>
        <v/>
      </c>
      <c r="Q13" s="6">
        <f>Premissas!$B$85</f>
        <v/>
      </c>
      <c r="R13" s="6">
        <f>Premissas!$B$85</f>
        <v/>
      </c>
      <c r="S13" s="6">
        <f>Premissas!$B$85</f>
        <v/>
      </c>
    </row>
    <row r="14">
      <c r="A14" t="inlineStr">
        <is>
          <t>Taxas bancárias + gasolina</t>
        </is>
      </c>
      <c r="B14" s="6" t="n">
        <v>0</v>
      </c>
      <c r="C14" s="6" t="n">
        <v>0</v>
      </c>
      <c r="D14" s="6">
        <f>Premissas!$B$86</f>
        <v/>
      </c>
      <c r="E14" s="6">
        <f>Premissas!$B$86</f>
        <v/>
      </c>
      <c r="F14" s="6">
        <f>Premissas!$B$86</f>
        <v/>
      </c>
      <c r="G14" s="6">
        <f>Premissas!$B$86</f>
        <v/>
      </c>
      <c r="H14" s="6">
        <f>Premissas!$B$86</f>
        <v/>
      </c>
      <c r="I14" s="6">
        <f>Premissas!$B$86</f>
        <v/>
      </c>
      <c r="J14" s="6">
        <f>Premissas!$B$86</f>
        <v/>
      </c>
      <c r="K14" s="6">
        <f>Premissas!$B$86</f>
        <v/>
      </c>
      <c r="L14" s="6">
        <f>Premissas!$B$86</f>
        <v/>
      </c>
      <c r="M14" s="6">
        <f>Premissas!$B$86</f>
        <v/>
      </c>
      <c r="N14" s="6">
        <f>Premissas!$B$86</f>
        <v/>
      </c>
      <c r="O14" s="6">
        <f>Premissas!$B$86</f>
        <v/>
      </c>
      <c r="P14" s="6">
        <f>Premissas!$B$86</f>
        <v/>
      </c>
      <c r="Q14" s="6">
        <f>Premissas!$B$86</f>
        <v/>
      </c>
      <c r="R14" s="6">
        <f>Premissas!$B$86</f>
        <v/>
      </c>
      <c r="S14" s="6">
        <f>Premissas!$B$86</f>
        <v/>
      </c>
    </row>
    <row r="15">
      <c r="A15" t="inlineStr">
        <is>
          <t>Custos operacionais (contab., manut., licenças…)</t>
        </is>
      </c>
      <c r="B15" s="6" t="n">
        <v>0</v>
      </c>
      <c r="C15" s="6" t="n">
        <v>0</v>
      </c>
      <c r="D15" s="6">
        <f>Premissas!$B$87</f>
        <v/>
      </c>
      <c r="E15" s="6">
        <f>Premissas!$B$87</f>
        <v/>
      </c>
      <c r="F15" s="6">
        <f>Premissas!$B$87</f>
        <v/>
      </c>
      <c r="G15" s="6">
        <f>Premissas!$B$87</f>
        <v/>
      </c>
      <c r="H15" s="6">
        <f>Premissas!$B$87</f>
        <v/>
      </c>
      <c r="I15" s="6">
        <f>Premissas!$B$87</f>
        <v/>
      </c>
      <c r="J15" s="6">
        <f>Premissas!$B$87</f>
        <v/>
      </c>
      <c r="K15" s="6">
        <f>Premissas!$B$87</f>
        <v/>
      </c>
      <c r="L15" s="6">
        <f>Premissas!$B$87</f>
        <v/>
      </c>
      <c r="M15" s="6">
        <f>Premissas!$B$87</f>
        <v/>
      </c>
      <c r="N15" s="6">
        <f>Premissas!$B$87</f>
        <v/>
      </c>
      <c r="O15" s="6">
        <f>Premissas!$B$87</f>
        <v/>
      </c>
      <c r="P15" s="6">
        <f>Premissas!$B$87</f>
        <v/>
      </c>
      <c r="Q15" s="6">
        <f>Premissas!$B$87</f>
        <v/>
      </c>
      <c r="R15" s="6">
        <f>Premissas!$B$87</f>
        <v/>
      </c>
      <c r="S15" s="6">
        <f>Premissas!$B$87</f>
        <v/>
      </c>
    </row>
    <row r="16">
      <c r="A16" t="inlineStr">
        <is>
          <t>Pró-labore</t>
        </is>
      </c>
      <c r="B16" s="6" t="n">
        <v>0</v>
      </c>
      <c r="C16" s="6" t="n">
        <v>0</v>
      </c>
      <c r="D16" s="6">
        <f>Premissas!$B$88</f>
        <v/>
      </c>
      <c r="E16" s="6">
        <f>Premissas!$B$88</f>
        <v/>
      </c>
      <c r="F16" s="6">
        <f>Premissas!$B$88</f>
        <v/>
      </c>
      <c r="G16" s="6">
        <f>Premissas!$B$88</f>
        <v/>
      </c>
      <c r="H16" s="6">
        <f>Premissas!$B$88</f>
        <v/>
      </c>
      <c r="I16" s="6">
        <f>Premissas!$B$88</f>
        <v/>
      </c>
      <c r="J16" s="6">
        <f>Premissas!$B$88</f>
        <v/>
      </c>
      <c r="K16" s="6">
        <f>Premissas!$B$88</f>
        <v/>
      </c>
      <c r="L16" s="6">
        <f>Premissas!$B$88</f>
        <v/>
      </c>
      <c r="M16" s="6">
        <f>Premissas!$B$88</f>
        <v/>
      </c>
      <c r="N16" s="6">
        <f>Premissas!$B$88</f>
        <v/>
      </c>
      <c r="O16" s="6">
        <f>Premissas!$B$88</f>
        <v/>
      </c>
      <c r="P16" s="6">
        <f>Premissas!$B$88</f>
        <v/>
      </c>
      <c r="Q16" s="6">
        <f>Premissas!$B$88</f>
        <v/>
      </c>
      <c r="R16" s="6">
        <f>Premissas!$B$88</f>
        <v/>
      </c>
      <c r="S16" s="6">
        <f>Premissas!$B$88</f>
        <v/>
      </c>
    </row>
    <row r="17">
      <c r="A17" s="14" t="inlineStr">
        <is>
          <t>Total de custos do período</t>
        </is>
      </c>
      <c r="B17" s="24">
        <f>SUM(B2:B16)</f>
        <v/>
      </c>
      <c r="C17" s="24">
        <f>SUM(C2:C16)</f>
        <v/>
      </c>
      <c r="D17" s="24">
        <f>SUM(D2:D16)</f>
        <v/>
      </c>
      <c r="E17" s="24">
        <f>SUM(E2:E16)</f>
        <v/>
      </c>
      <c r="F17" s="24">
        <f>SUM(F2:F16)</f>
        <v/>
      </c>
      <c r="G17" s="24">
        <f>SUM(G2:G16)</f>
        <v/>
      </c>
      <c r="H17" s="24">
        <f>SUM(H2:H16)</f>
        <v/>
      </c>
      <c r="I17" s="24">
        <f>SUM(I2:I16)</f>
        <v/>
      </c>
      <c r="J17" s="24">
        <f>SUM(J2:J16)</f>
        <v/>
      </c>
      <c r="K17" s="24">
        <f>SUM(K2:K16)</f>
        <v/>
      </c>
      <c r="L17" s="24">
        <f>SUM(L2:L16)</f>
        <v/>
      </c>
      <c r="M17" s="24">
        <f>SUM(M2:M16)</f>
        <v/>
      </c>
      <c r="N17" s="24">
        <f>SUM(N2:N16)</f>
        <v/>
      </c>
      <c r="O17" s="24">
        <f>SUM(O2:O16)</f>
        <v/>
      </c>
      <c r="P17" s="24">
        <f>SUM(P2:P16)</f>
        <v/>
      </c>
      <c r="Q17" s="24">
        <f>SUM(Q2:Q16)</f>
        <v/>
      </c>
      <c r="R17" s="24">
        <f>SUM(R2:R16)</f>
        <v/>
      </c>
      <c r="S17" s="24">
        <f>SUM(S2:S16)</f>
        <v/>
      </c>
    </row>
    <row r="19">
      <c r="A19" s="7" t="inlineStr">
        <is>
          <t>Out e Nov vêm zerados (obras). Do M1 em diante puxam o padrão das Premissas — digite por cima para variar o mês.</t>
        </is>
      </c>
    </row>
    <row r="20">
      <c r="A20" s="20" t="inlineStr">
        <is>
          <t>A linha 11 (Marketing) alimenta o cálculo de matrículas quando o modo CAC está ligado nas Premissas.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F0"/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4" t="inlineStr">
        <is>
          <t>CANAIS DE AQUISIÇÃO — de onde vem cada aluno</t>
        </is>
      </c>
      <c r="B1" s="4" t="inlineStr">
        <is>
          <t>CAC (R$)</t>
        </is>
      </c>
      <c r="C1" s="23" t="inlineStr">
        <is>
          <t>Out (obras)</t>
        </is>
      </c>
      <c r="D1" s="23" t="inlineStr">
        <is>
          <t>Nov (obras)</t>
        </is>
      </c>
      <c r="E1" s="23" t="inlineStr">
        <is>
          <t>Dez (M1)</t>
        </is>
      </c>
      <c r="F1" s="23" t="inlineStr">
        <is>
          <t>Jan (M2)</t>
        </is>
      </c>
      <c r="G1" s="23" t="inlineStr">
        <is>
          <t>Fev (M3)</t>
        </is>
      </c>
      <c r="H1" s="23" t="inlineStr">
        <is>
          <t>Mar (M4)</t>
        </is>
      </c>
      <c r="I1" s="23" t="inlineStr">
        <is>
          <t>Abr (M5)</t>
        </is>
      </c>
      <c r="J1" s="23" t="inlineStr">
        <is>
          <t>Mai (M6)</t>
        </is>
      </c>
      <c r="K1" s="23" t="inlineStr">
        <is>
          <t>Jun (M7)</t>
        </is>
      </c>
      <c r="L1" s="23" t="inlineStr">
        <is>
          <t>Jul (M8)</t>
        </is>
      </c>
      <c r="M1" s="23" t="inlineStr">
        <is>
          <t>Ago (M9)</t>
        </is>
      </c>
      <c r="N1" s="23" t="inlineStr">
        <is>
          <t>Set (M10)</t>
        </is>
      </c>
      <c r="O1" s="23" t="inlineStr">
        <is>
          <t>Out (M11)</t>
        </is>
      </c>
      <c r="P1" s="23" t="inlineStr">
        <is>
          <t>Nov (M12)</t>
        </is>
      </c>
      <c r="Q1" s="23" t="inlineStr">
        <is>
          <t>Dez (M13)</t>
        </is>
      </c>
      <c r="R1" s="23" t="inlineStr">
        <is>
          <t>Jan (M14)</t>
        </is>
      </c>
      <c r="S1" s="23" t="inlineStr">
        <is>
          <t>Fev (M15)</t>
        </is>
      </c>
      <c r="T1" s="23" t="inlineStr">
        <is>
          <t>Mar (M16)</t>
        </is>
      </c>
    </row>
    <row r="2">
      <c r="A2" s="12" t="inlineStr">
        <is>
          <t>Passantes / fachada</t>
        </is>
      </c>
      <c r="B2" s="6" t="n">
        <v>0</v>
      </c>
      <c r="C2" s="13" t="n">
        <v>2</v>
      </c>
      <c r="D2" s="13" t="n">
        <v>11</v>
      </c>
      <c r="E2" s="13" t="n">
        <v>4</v>
      </c>
      <c r="F2" s="13" t="n">
        <v>10</v>
      </c>
      <c r="G2" s="13" t="n">
        <v>10</v>
      </c>
      <c r="H2" s="13" t="n">
        <v>6</v>
      </c>
      <c r="I2" s="13" t="n">
        <v>6</v>
      </c>
      <c r="J2" s="13" t="n">
        <v>6</v>
      </c>
      <c r="K2" s="13" t="n">
        <v>6</v>
      </c>
      <c r="L2" s="13" t="n">
        <v>10</v>
      </c>
      <c r="M2" s="13" t="n">
        <v>10</v>
      </c>
      <c r="N2" s="13" t="n">
        <v>6</v>
      </c>
      <c r="O2" s="13" t="n">
        <v>6</v>
      </c>
      <c r="P2" s="13" t="n">
        <v>10</v>
      </c>
      <c r="Q2" s="13" t="n">
        <v>10</v>
      </c>
      <c r="R2" s="13" t="n">
        <v>6</v>
      </c>
      <c r="S2" s="13" t="n">
        <v>10</v>
      </c>
      <c r="T2" s="13" t="n">
        <v>6</v>
      </c>
    </row>
    <row r="3">
      <c r="A3" s="12" t="inlineStr">
        <is>
          <t>Indicação de aluno</t>
        </is>
      </c>
      <c r="B3" s="6" t="n">
        <v>50</v>
      </c>
      <c r="C3" s="13" t="n">
        <v>1</v>
      </c>
      <c r="D3" s="13" t="n">
        <v>8</v>
      </c>
      <c r="E3" s="13" t="n">
        <v>3</v>
      </c>
      <c r="F3" s="13" t="n">
        <v>7</v>
      </c>
      <c r="G3" s="13" t="n">
        <v>7</v>
      </c>
      <c r="H3" s="13" t="n">
        <v>4</v>
      </c>
      <c r="I3" s="13" t="n">
        <v>4</v>
      </c>
      <c r="J3" s="13" t="n">
        <v>4</v>
      </c>
      <c r="K3" s="13" t="n">
        <v>4</v>
      </c>
      <c r="L3" s="13" t="n">
        <v>7</v>
      </c>
      <c r="M3" s="13" t="n">
        <v>7</v>
      </c>
      <c r="N3" s="13" t="n">
        <v>4</v>
      </c>
      <c r="O3" s="13" t="n">
        <v>4</v>
      </c>
      <c r="P3" s="13" t="n">
        <v>7</v>
      </c>
      <c r="Q3" s="13" t="n">
        <v>7</v>
      </c>
      <c r="R3" s="13" t="n">
        <v>4</v>
      </c>
      <c r="S3" s="13" t="n">
        <v>7</v>
      </c>
      <c r="T3" s="13" t="n">
        <v>4</v>
      </c>
    </row>
    <row r="4">
      <c r="A4" s="12" t="inlineStr">
        <is>
          <t>Tráfego pago</t>
        </is>
      </c>
      <c r="B4" s="6" t="n">
        <v>250</v>
      </c>
      <c r="C4" s="13" t="n">
        <v>1</v>
      </c>
      <c r="D4" s="13" t="n">
        <v>13</v>
      </c>
      <c r="E4" s="13" t="n">
        <v>5</v>
      </c>
      <c r="F4" s="13" t="n">
        <v>10</v>
      </c>
      <c r="G4" s="13" t="n">
        <v>10</v>
      </c>
      <c r="H4" s="13" t="n">
        <v>7</v>
      </c>
      <c r="I4" s="13" t="n">
        <v>7</v>
      </c>
      <c r="J4" s="13" t="n">
        <v>7</v>
      </c>
      <c r="K4" s="13" t="n">
        <v>7</v>
      </c>
      <c r="L4" s="13" t="n">
        <v>10</v>
      </c>
      <c r="M4" s="13" t="n">
        <v>10</v>
      </c>
      <c r="N4" s="13" t="n">
        <v>7</v>
      </c>
      <c r="O4" s="13" t="n">
        <v>7</v>
      </c>
      <c r="P4" s="13" t="n">
        <v>10</v>
      </c>
      <c r="Q4" s="13" t="n">
        <v>10</v>
      </c>
      <c r="R4" s="13" t="n">
        <v>7</v>
      </c>
      <c r="S4" s="13" t="n">
        <v>10</v>
      </c>
      <c r="T4" s="13" t="n">
        <v>7</v>
      </c>
    </row>
    <row r="5">
      <c r="A5" s="12" t="inlineStr">
        <is>
          <t>Redes sociais (orgânico)</t>
        </is>
      </c>
      <c r="B5" s="6" t="n">
        <v>0</v>
      </c>
      <c r="C5" s="13" t="n">
        <v>0</v>
      </c>
      <c r="D5" s="13" t="n">
        <v>1</v>
      </c>
      <c r="E5" s="13" t="n">
        <v>1</v>
      </c>
      <c r="F5" s="13" t="n">
        <v>1</v>
      </c>
      <c r="G5" s="13" t="n">
        <v>1</v>
      </c>
      <c r="H5" s="13" t="n">
        <v>1</v>
      </c>
      <c r="I5" s="13" t="n">
        <v>1</v>
      </c>
      <c r="J5" s="13" t="n">
        <v>1</v>
      </c>
      <c r="K5" s="13" t="n">
        <v>1</v>
      </c>
      <c r="L5" s="13" t="n">
        <v>1</v>
      </c>
      <c r="M5" s="13" t="n">
        <v>1</v>
      </c>
      <c r="N5" s="13" t="n">
        <v>1</v>
      </c>
      <c r="O5" s="13" t="n">
        <v>1</v>
      </c>
      <c r="P5" s="13" t="n">
        <v>1</v>
      </c>
      <c r="Q5" s="13" t="n">
        <v>1</v>
      </c>
      <c r="R5" s="13" t="n">
        <v>1</v>
      </c>
      <c r="S5" s="13" t="n">
        <v>1</v>
      </c>
      <c r="T5" s="13" t="n">
        <v>1</v>
      </c>
    </row>
    <row r="6">
      <c r="A6" s="12" t="inlineStr">
        <is>
          <t>Parcerias / escolas</t>
        </is>
      </c>
      <c r="B6" s="6" t="n">
        <v>80</v>
      </c>
      <c r="C6" s="13" t="n">
        <v>0</v>
      </c>
      <c r="D6" s="13" t="n">
        <v>1</v>
      </c>
      <c r="E6" s="13" t="n">
        <v>0</v>
      </c>
      <c r="F6" s="13" t="n">
        <v>1</v>
      </c>
      <c r="G6" s="13" t="n">
        <v>1</v>
      </c>
      <c r="H6" s="13" t="n">
        <v>1</v>
      </c>
      <c r="I6" s="13" t="n">
        <v>1</v>
      </c>
      <c r="J6" s="13" t="n">
        <v>1</v>
      </c>
      <c r="K6" s="13" t="n">
        <v>1</v>
      </c>
      <c r="L6" s="13" t="n">
        <v>1</v>
      </c>
      <c r="M6" s="13" t="n">
        <v>1</v>
      </c>
      <c r="N6" s="13" t="n">
        <v>1</v>
      </c>
      <c r="O6" s="13" t="n">
        <v>1</v>
      </c>
      <c r="P6" s="13" t="n">
        <v>1</v>
      </c>
      <c r="Q6" s="13" t="n">
        <v>1</v>
      </c>
      <c r="R6" s="13" t="n">
        <v>1</v>
      </c>
      <c r="S6" s="13" t="n">
        <v>1</v>
      </c>
      <c r="T6" s="13" t="n">
        <v>1</v>
      </c>
    </row>
    <row r="7">
      <c r="A7" s="12" t="inlineStr">
        <is>
          <t>Eventos / panfletagem</t>
        </is>
      </c>
      <c r="B7" s="6" t="n">
        <v>120</v>
      </c>
      <c r="C7" s="13" t="n">
        <v>0</v>
      </c>
      <c r="D7" s="13" t="n">
        <v>1</v>
      </c>
      <c r="E7" s="13" t="n">
        <v>0</v>
      </c>
      <c r="F7" s="13" t="n">
        <v>1</v>
      </c>
      <c r="G7" s="13" t="n">
        <v>1</v>
      </c>
      <c r="H7" s="13" t="n">
        <v>1</v>
      </c>
      <c r="I7" s="13" t="n">
        <v>1</v>
      </c>
      <c r="J7" s="13" t="n">
        <v>1</v>
      </c>
      <c r="K7" s="13" t="n">
        <v>1</v>
      </c>
      <c r="L7" s="13" t="n">
        <v>1</v>
      </c>
      <c r="M7" s="13" t="n">
        <v>1</v>
      </c>
      <c r="N7" s="13" t="n">
        <v>1</v>
      </c>
      <c r="O7" s="13" t="n">
        <v>1</v>
      </c>
      <c r="P7" s="13" t="n">
        <v>1</v>
      </c>
      <c r="Q7" s="13" t="n">
        <v>1</v>
      </c>
      <c r="R7" s="13" t="n">
        <v>1</v>
      </c>
      <c r="S7" s="13" t="n">
        <v>1</v>
      </c>
      <c r="T7" s="13" t="n">
        <v>1</v>
      </c>
    </row>
    <row r="8">
      <c r="A8" s="12" t="inlineStr">
        <is>
          <t>Outros</t>
        </is>
      </c>
      <c r="B8" s="6" t="n">
        <v>0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  <c r="N8" s="13" t="n">
        <v>0</v>
      </c>
      <c r="O8" s="13" t="n">
        <v>0</v>
      </c>
      <c r="P8" s="13" t="n">
        <v>0</v>
      </c>
      <c r="Q8" s="13" t="n">
        <v>0</v>
      </c>
      <c r="R8" s="13" t="n">
        <v>0</v>
      </c>
      <c r="S8" s="13" t="n">
        <v>0</v>
      </c>
      <c r="T8" s="13" t="n">
        <v>0</v>
      </c>
    </row>
    <row r="9">
      <c r="A9" s="14" t="inlineStr">
        <is>
          <t>Total de matrículas do mês</t>
        </is>
      </c>
      <c r="C9" s="25">
        <f>SUM(C2:C8)</f>
        <v/>
      </c>
      <c r="D9" s="25">
        <f>SUM(D2:D8)</f>
        <v/>
      </c>
      <c r="E9" s="25">
        <f>SUM(E2:E8)</f>
        <v/>
      </c>
      <c r="F9" s="25">
        <f>SUM(F2:F8)</f>
        <v/>
      </c>
      <c r="G9" s="25">
        <f>SUM(G2:G8)</f>
        <v/>
      </c>
      <c r="H9" s="25">
        <f>SUM(H2:H8)</f>
        <v/>
      </c>
      <c r="I9" s="25">
        <f>SUM(I2:I8)</f>
        <v/>
      </c>
      <c r="J9" s="25">
        <f>SUM(J2:J8)</f>
        <v/>
      </c>
      <c r="K9" s="25">
        <f>SUM(K2:K8)</f>
        <v/>
      </c>
      <c r="L9" s="25">
        <f>SUM(L2:L8)</f>
        <v/>
      </c>
      <c r="M9" s="25">
        <f>SUM(M2:M8)</f>
        <v/>
      </c>
      <c r="N9" s="25">
        <f>SUM(N2:N8)</f>
        <v/>
      </c>
      <c r="O9" s="25">
        <f>SUM(O2:O8)</f>
        <v/>
      </c>
      <c r="P9" s="25">
        <f>SUM(P2:P8)</f>
        <v/>
      </c>
      <c r="Q9" s="25">
        <f>SUM(Q2:Q8)</f>
        <v/>
      </c>
      <c r="R9" s="25">
        <f>SUM(R2:R8)</f>
        <v/>
      </c>
      <c r="S9" s="25">
        <f>SUM(S2:S8)</f>
        <v/>
      </c>
      <c r="T9" s="25">
        <f>SUM(T2:T8)</f>
        <v/>
      </c>
    </row>
    <row r="10">
      <c r="A10" s="14" t="inlineStr">
        <is>
          <t>Custo de aquisição do mês</t>
        </is>
      </c>
      <c r="C10" s="24">
        <f>SUMPRODUCT(C$2:C$8,$B$2:$B$8)</f>
        <v/>
      </c>
      <c r="D10" s="24">
        <f>SUMPRODUCT(D$2:D$8,$B$2:$B$8)</f>
        <v/>
      </c>
      <c r="E10" s="24">
        <f>SUMPRODUCT(E$2:E$8,$B$2:$B$8)</f>
        <v/>
      </c>
      <c r="F10" s="24">
        <f>SUMPRODUCT(F$2:F$8,$B$2:$B$8)</f>
        <v/>
      </c>
      <c r="G10" s="24">
        <f>SUMPRODUCT(G$2:G$8,$B$2:$B$8)</f>
        <v/>
      </c>
      <c r="H10" s="24">
        <f>SUMPRODUCT(H$2:H$8,$B$2:$B$8)</f>
        <v/>
      </c>
      <c r="I10" s="24">
        <f>SUMPRODUCT(I$2:I$8,$B$2:$B$8)</f>
        <v/>
      </c>
      <c r="J10" s="24">
        <f>SUMPRODUCT(J$2:J$8,$B$2:$B$8)</f>
        <v/>
      </c>
      <c r="K10" s="24">
        <f>SUMPRODUCT(K$2:K$8,$B$2:$B$8)</f>
        <v/>
      </c>
      <c r="L10" s="24">
        <f>SUMPRODUCT(L$2:L$8,$B$2:$B$8)</f>
        <v/>
      </c>
      <c r="M10" s="24">
        <f>SUMPRODUCT(M$2:M$8,$B$2:$B$8)</f>
        <v/>
      </c>
      <c r="N10" s="24">
        <f>SUMPRODUCT(N$2:N$8,$B$2:$B$8)</f>
        <v/>
      </c>
      <c r="O10" s="24">
        <f>SUMPRODUCT(O$2:O$8,$B$2:$B$8)</f>
        <v/>
      </c>
      <c r="P10" s="24">
        <f>SUMPRODUCT(P$2:P$8,$B$2:$B$8)</f>
        <v/>
      </c>
      <c r="Q10" s="24">
        <f>SUMPRODUCT(Q$2:Q$8,$B$2:$B$8)</f>
        <v/>
      </c>
      <c r="R10" s="24">
        <f>SUMPRODUCT(R$2:R$8,$B$2:$B$8)</f>
        <v/>
      </c>
      <c r="S10" s="24">
        <f>SUMPRODUCT(S$2:S$8,$B$2:$B$8)</f>
        <v/>
      </c>
      <c r="T10" s="24">
        <f>SUMPRODUCT(T$2:T$8,$B$2:$B$8)</f>
        <v/>
      </c>
    </row>
    <row r="11">
      <c r="A11" s="14" t="inlineStr">
        <is>
          <t>CAC médio do mês</t>
        </is>
      </c>
      <c r="C11" s="15">
        <f>IF(C9=0,0,C10/C9)</f>
        <v/>
      </c>
      <c r="D11" s="15">
        <f>IF(D9=0,0,D10/D9)</f>
        <v/>
      </c>
      <c r="E11" s="15">
        <f>IF(E9=0,0,E10/E9)</f>
        <v/>
      </c>
      <c r="F11" s="15">
        <f>IF(F9=0,0,F10/F9)</f>
        <v/>
      </c>
      <c r="G11" s="15">
        <f>IF(G9=0,0,G10/G9)</f>
        <v/>
      </c>
      <c r="H11" s="15">
        <f>IF(H9=0,0,H10/H9)</f>
        <v/>
      </c>
      <c r="I11" s="15">
        <f>IF(I9=0,0,I10/I9)</f>
        <v/>
      </c>
      <c r="J11" s="15">
        <f>IF(J9=0,0,J10/J9)</f>
        <v/>
      </c>
      <c r="K11" s="15">
        <f>IF(K9=0,0,K10/K9)</f>
        <v/>
      </c>
      <c r="L11" s="15">
        <f>IF(L9=0,0,L10/L9)</f>
        <v/>
      </c>
      <c r="M11" s="15">
        <f>IF(M9=0,0,M10/M9)</f>
        <v/>
      </c>
      <c r="N11" s="15">
        <f>IF(N9=0,0,N10/N9)</f>
        <v/>
      </c>
      <c r="O11" s="15">
        <f>IF(O9=0,0,O10/O9)</f>
        <v/>
      </c>
      <c r="P11" s="15">
        <f>IF(P9=0,0,P10/P9)</f>
        <v/>
      </c>
      <c r="Q11" s="15">
        <f>IF(Q9=0,0,Q10/Q9)</f>
        <v/>
      </c>
      <c r="R11" s="15">
        <f>IF(R9=0,0,R10/R9)</f>
        <v/>
      </c>
      <c r="S11" s="15">
        <f>IF(S9=0,0,S10/S9)</f>
        <v/>
      </c>
      <c r="T11" s="15">
        <f>IF(T9=0,0,T10/T9)</f>
        <v/>
      </c>
    </row>
    <row r="13">
      <c r="A13" s="8" t="inlineStr">
        <is>
          <t>RETORNO POR CANAL (todo o horizonte)</t>
        </is>
      </c>
    </row>
    <row r="14">
      <c r="A14" s="26" t="inlineStr">
        <is>
          <t>Canal</t>
        </is>
      </c>
      <c r="B14" s="26" t="inlineStr">
        <is>
          <t>Alunos</t>
        </is>
      </c>
      <c r="C14" s="26" t="inlineStr">
        <is>
          <t>% das matrículas</t>
        </is>
      </c>
      <c r="D14" s="26" t="inlineStr">
        <is>
          <t>Investido</t>
        </is>
      </c>
      <c r="E14" s="26" t="inlineStr">
        <is>
          <t>CAC realizado</t>
        </is>
      </c>
      <c r="F14" s="26" t="inlineStr">
        <is>
          <t>Alunos por R$ 1.000</t>
        </is>
      </c>
    </row>
    <row r="15">
      <c r="A15">
        <f>A2</f>
        <v/>
      </c>
      <c r="B15" s="27">
        <f>SUM(C2:T2)</f>
        <v/>
      </c>
      <c r="C15" s="28">
        <f>IF(SUM($B$15:$B$21)=0,0,B15/SUM($B$15:$B$21))</f>
        <v/>
      </c>
      <c r="D15" s="29">
        <f>B15*$B$2</f>
        <v/>
      </c>
      <c r="E15" s="29">
        <f>IF(B15=0,0,D15/B15)</f>
        <v/>
      </c>
      <c r="F15" s="30">
        <f>IF(D15=0,"— (orgânico)",B15/(D15/1000))</f>
        <v/>
      </c>
    </row>
    <row r="16">
      <c r="A16">
        <f>A3</f>
        <v/>
      </c>
      <c r="B16" s="27">
        <f>SUM(C3:T3)</f>
        <v/>
      </c>
      <c r="C16" s="28">
        <f>IF(SUM($B$15:$B$21)=0,0,B16/SUM($B$15:$B$21))</f>
        <v/>
      </c>
      <c r="D16" s="29">
        <f>B16*$B$3</f>
        <v/>
      </c>
      <c r="E16" s="29">
        <f>IF(B16=0,0,D16/B16)</f>
        <v/>
      </c>
      <c r="F16" s="30">
        <f>IF(D16=0,"— (orgânico)",B16/(D16/1000))</f>
        <v/>
      </c>
    </row>
    <row r="17">
      <c r="A17">
        <f>A4</f>
        <v/>
      </c>
      <c r="B17" s="27">
        <f>SUM(C4:T4)</f>
        <v/>
      </c>
      <c r="C17" s="28">
        <f>IF(SUM($B$15:$B$21)=0,0,B17/SUM($B$15:$B$21))</f>
        <v/>
      </c>
      <c r="D17" s="29">
        <f>B17*$B$4</f>
        <v/>
      </c>
      <c r="E17" s="29">
        <f>IF(B17=0,0,D17/B17)</f>
        <v/>
      </c>
      <c r="F17" s="30">
        <f>IF(D17=0,"— (orgânico)",B17/(D17/1000))</f>
        <v/>
      </c>
    </row>
    <row r="18">
      <c r="A18">
        <f>A5</f>
        <v/>
      </c>
      <c r="B18" s="27">
        <f>SUM(C5:T5)</f>
        <v/>
      </c>
      <c r="C18" s="28">
        <f>IF(SUM($B$15:$B$21)=0,0,B18/SUM($B$15:$B$21))</f>
        <v/>
      </c>
      <c r="D18" s="29">
        <f>B18*$B$5</f>
        <v/>
      </c>
      <c r="E18" s="29">
        <f>IF(B18=0,0,D18/B18)</f>
        <v/>
      </c>
      <c r="F18" s="30">
        <f>IF(D18=0,"— (orgânico)",B18/(D18/1000))</f>
        <v/>
      </c>
    </row>
    <row r="19">
      <c r="A19">
        <f>A6</f>
        <v/>
      </c>
      <c r="B19" s="27">
        <f>SUM(C6:T6)</f>
        <v/>
      </c>
      <c r="C19" s="28">
        <f>IF(SUM($B$15:$B$21)=0,0,B19/SUM($B$15:$B$21))</f>
        <v/>
      </c>
      <c r="D19" s="29">
        <f>B19*$B$6</f>
        <v/>
      </c>
      <c r="E19" s="29">
        <f>IF(B19=0,0,D19/B19)</f>
        <v/>
      </c>
      <c r="F19" s="30">
        <f>IF(D19=0,"— (orgânico)",B19/(D19/1000))</f>
        <v/>
      </c>
    </row>
    <row r="20">
      <c r="A20">
        <f>A7</f>
        <v/>
      </c>
      <c r="B20" s="27">
        <f>SUM(C7:T7)</f>
        <v/>
      </c>
      <c r="C20" s="28">
        <f>IF(SUM($B$15:$B$21)=0,0,B20/SUM($B$15:$B$21))</f>
        <v/>
      </c>
      <c r="D20" s="29">
        <f>B20*$B$7</f>
        <v/>
      </c>
      <c r="E20" s="29">
        <f>IF(B20=0,0,D20/B20)</f>
        <v/>
      </c>
      <c r="F20" s="30">
        <f>IF(D20=0,"— (orgânico)",B20/(D20/1000))</f>
        <v/>
      </c>
    </row>
    <row r="21">
      <c r="A21">
        <f>A8</f>
        <v/>
      </c>
      <c r="B21" s="27">
        <f>SUM(C8:T8)</f>
        <v/>
      </c>
      <c r="C21" s="28">
        <f>IF(SUM($B$15:$B$21)=0,0,B21/SUM($B$15:$B$21))</f>
        <v/>
      </c>
      <c r="D21" s="29">
        <f>B21*$B$8</f>
        <v/>
      </c>
      <c r="E21" s="29">
        <f>IF(B21=0,0,D21/B21)</f>
        <v/>
      </c>
      <c r="F21" s="30">
        <f>IF(D21=0,"— (orgânico)",B21/(D21/1000))</f>
        <v/>
      </c>
    </row>
    <row r="22">
      <c r="A22" s="14" t="inlineStr">
        <is>
          <t>Só canais pagos (CAC &gt; 0)</t>
        </is>
      </c>
      <c r="B22" s="31">
        <f>SUMIF($B$2:$B$8,"&gt;0",$B$15:$B$21)</f>
        <v/>
      </c>
      <c r="D22" s="32">
        <f>SUMIF($B$2:$B$8,"&gt;0",$D$15:$D$21)</f>
        <v/>
      </c>
      <c r="E22" s="32">
        <f>IF(B22=0,0,D22/B22)</f>
        <v/>
      </c>
      <c r="F22" s="33">
        <f>IF(D22=0,0,B22/(D22/1000))</f>
        <v/>
      </c>
    </row>
    <row r="24">
      <c r="A24" s="7" t="inlineStr">
        <is>
          <t>Quantos alunos cada R$ 1.000 traz: compare o tráfego pago com indicação e parcerias antes de decidir onde botar a verba.</t>
        </is>
      </c>
    </row>
    <row r="26">
      <c r="A26" s="7" t="inlineStr">
        <is>
          <t>Lance quantos alunos vieram de cada canal em cada mês. O CAC de cada canal (coluna B) multiplica a quantidade e vira a linha 'Aquisição de alunos' nos cenários.</t>
        </is>
      </c>
    </row>
    <row r="27">
      <c r="A27" s="7" t="inlineStr">
        <is>
          <t>Canais orgânicos (passantes, indicação, redes) podem ter CAC 0 ou só o bônus de indicação. Tráfego pago é onde o dinheiro sai de fato.</t>
        </is>
      </c>
    </row>
    <row r="28">
      <c r="A28" s="20" t="inlineStr">
        <is>
          <t>Para as matrículas virem daqui, coloque 3 em 'Origem das matrículas' nas Premissas. Esta aba vale para os 3 cenários.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6" customWidth="1" min="21" max="21"/>
  </cols>
  <sheetData>
    <row r="1">
      <c r="A1" s="4" t="inlineStr">
        <is>
          <t>Cenário Pessimista</t>
        </is>
      </c>
      <c r="B1" s="23" t="inlineStr">
        <is>
          <t>Out (obras)</t>
        </is>
      </c>
      <c r="C1" s="23" t="inlineStr">
        <is>
          <t>Nov (obras)</t>
        </is>
      </c>
      <c r="D1" s="23" t="inlineStr">
        <is>
          <t>Dez (M1)</t>
        </is>
      </c>
      <c r="E1" s="23" t="inlineStr">
        <is>
          <t>Jan (M2)</t>
        </is>
      </c>
      <c r="F1" s="23" t="inlineStr">
        <is>
          <t>Fev (M3)</t>
        </is>
      </c>
      <c r="G1" s="23" t="inlineStr">
        <is>
          <t>Mar (M4)</t>
        </is>
      </c>
      <c r="H1" s="23" t="inlineStr">
        <is>
          <t>Abr (M5)</t>
        </is>
      </c>
      <c r="I1" s="23" t="inlineStr">
        <is>
          <t>Mai (M6)</t>
        </is>
      </c>
      <c r="J1" s="23" t="inlineStr">
        <is>
          <t>Jun (M7)</t>
        </is>
      </c>
      <c r="K1" s="23" t="inlineStr">
        <is>
          <t>Jul (M8)</t>
        </is>
      </c>
      <c r="L1" s="23" t="inlineStr">
        <is>
          <t>Ago (M9)</t>
        </is>
      </c>
      <c r="M1" s="23" t="inlineStr">
        <is>
          <t>Set (M10)</t>
        </is>
      </c>
      <c r="N1" s="23" t="inlineStr">
        <is>
          <t>Out (M11)</t>
        </is>
      </c>
      <c r="O1" s="23" t="inlineStr">
        <is>
          <t>Nov (M12)</t>
        </is>
      </c>
      <c r="P1" s="23" t="inlineStr">
        <is>
          <t>Dez (M13)</t>
        </is>
      </c>
      <c r="Q1" s="23" t="inlineStr">
        <is>
          <t>Jan (M14)</t>
        </is>
      </c>
      <c r="R1" s="23" t="inlineStr">
        <is>
          <t>Fev (M15)</t>
        </is>
      </c>
      <c r="S1" s="23" t="inlineStr">
        <is>
          <t>Mar (M16)</t>
        </is>
      </c>
    </row>
    <row r="2">
      <c r="A2" s="34" t="inlineStr">
        <is>
          <t>Período (0 = out)</t>
        </is>
      </c>
      <c r="B2" s="35" t="n">
        <v>0</v>
      </c>
      <c r="C2" s="35" t="n">
        <v>1</v>
      </c>
      <c r="D2" s="35" t="n">
        <v>2</v>
      </c>
      <c r="E2" s="35" t="n">
        <v>3</v>
      </c>
      <c r="F2" s="35" t="n">
        <v>4</v>
      </c>
      <c r="G2" s="35" t="n">
        <v>5</v>
      </c>
      <c r="H2" s="35" t="n">
        <v>6</v>
      </c>
      <c r="I2" s="35" t="n">
        <v>7</v>
      </c>
      <c r="J2" s="35" t="n">
        <v>8</v>
      </c>
      <c r="K2" s="35" t="n">
        <v>9</v>
      </c>
      <c r="L2" s="35" t="n">
        <v>10</v>
      </c>
      <c r="M2" s="35" t="n">
        <v>11</v>
      </c>
      <c r="N2" s="35" t="n">
        <v>12</v>
      </c>
      <c r="O2" s="35" t="n">
        <v>13</v>
      </c>
      <c r="P2" s="35" t="n">
        <v>14</v>
      </c>
      <c r="Q2" s="35" t="n">
        <v>15</v>
      </c>
      <c r="R2" s="35" t="n">
        <v>16</v>
      </c>
      <c r="S2" s="35" t="n">
        <v>17</v>
      </c>
    </row>
    <row r="3">
      <c r="A3" t="inlineStr">
        <is>
          <t>Matrículas — entrada manual  ✏️ editável</t>
        </is>
      </c>
      <c r="B3" s="13" t="n">
        <v>2</v>
      </c>
      <c r="C3" s="13" t="n">
        <v>20</v>
      </c>
      <c r="D3" s="13" t="n">
        <v>10</v>
      </c>
      <c r="E3" s="13" t="n">
        <v>20</v>
      </c>
      <c r="F3" s="13" t="n">
        <v>25</v>
      </c>
      <c r="G3" s="13" t="n">
        <v>15</v>
      </c>
      <c r="H3" s="13" t="n">
        <v>15</v>
      </c>
      <c r="I3" s="13" t="n">
        <v>15</v>
      </c>
      <c r="J3" s="13" t="n">
        <v>15</v>
      </c>
      <c r="K3" s="13" t="n">
        <v>20</v>
      </c>
      <c r="L3" s="13" t="n">
        <v>20</v>
      </c>
      <c r="M3" s="13" t="n">
        <v>15</v>
      </c>
      <c r="N3" s="13" t="n">
        <v>15</v>
      </c>
      <c r="O3" s="13" t="n">
        <v>20</v>
      </c>
      <c r="P3" s="13" t="n">
        <v>20</v>
      </c>
      <c r="Q3" s="13" t="n">
        <v>15</v>
      </c>
      <c r="R3" s="13" t="n">
        <v>20</v>
      </c>
      <c r="S3" s="13" t="n">
        <v>15</v>
      </c>
      <c r="U3" s="7" t="inlineStr">
        <is>
          <t>Break-even (alunos):</t>
        </is>
      </c>
    </row>
    <row r="4">
      <c r="A4" s="14" t="inlineStr">
        <is>
          <t>Matrículas no período (vale para o cálculo)</t>
        </is>
      </c>
      <c r="B4" s="36">
        <f>IF(Premissas!$B$59=3,'Canais de aquisição'!C$9,IF(Premissas!$B$59=2,ROUND('Custos mês a mês'!B$11/MAX(Premissas!$B$60,1),0),B3))</f>
        <v/>
      </c>
      <c r="C4" s="36">
        <f>IF(Premissas!$B$59=3,'Canais de aquisição'!D$9,IF(Premissas!$B$59=2,ROUND('Custos mês a mês'!C$11/MAX(Premissas!$B$60,1),0),C3))</f>
        <v/>
      </c>
      <c r="D4" s="36">
        <f>IF(Premissas!$B$59=3,'Canais de aquisição'!E$9,IF(Premissas!$B$59=2,ROUND('Custos mês a mês'!D$11/MAX(Premissas!$B$60,1),0),D3))</f>
        <v/>
      </c>
      <c r="E4" s="36">
        <f>IF(Premissas!$B$59=3,'Canais de aquisição'!F$9,IF(Premissas!$B$59=2,ROUND('Custos mês a mês'!E$11/MAX(Premissas!$B$60,1),0),E3))</f>
        <v/>
      </c>
      <c r="F4" s="36">
        <f>IF(Premissas!$B$59=3,'Canais de aquisição'!G$9,IF(Premissas!$B$59=2,ROUND('Custos mês a mês'!F$11/MAX(Premissas!$B$60,1),0),F3))</f>
        <v/>
      </c>
      <c r="G4" s="36">
        <f>IF(Premissas!$B$59=3,'Canais de aquisição'!H$9,IF(Premissas!$B$59=2,ROUND('Custos mês a mês'!G$11/MAX(Premissas!$B$60,1),0),G3))</f>
        <v/>
      </c>
      <c r="H4" s="36">
        <f>IF(Premissas!$B$59=3,'Canais de aquisição'!I$9,IF(Premissas!$B$59=2,ROUND('Custos mês a mês'!H$11/MAX(Premissas!$B$60,1),0),H3))</f>
        <v/>
      </c>
      <c r="I4" s="36">
        <f>IF(Premissas!$B$59=3,'Canais de aquisição'!J$9,IF(Premissas!$B$59=2,ROUND('Custos mês a mês'!I$11/MAX(Premissas!$B$60,1),0),I3))</f>
        <v/>
      </c>
      <c r="J4" s="36">
        <f>IF(Premissas!$B$59=3,'Canais de aquisição'!K$9,IF(Premissas!$B$59=2,ROUND('Custos mês a mês'!J$11/MAX(Premissas!$B$60,1),0),J3))</f>
        <v/>
      </c>
      <c r="K4" s="36">
        <f>IF(Premissas!$B$59=3,'Canais de aquisição'!L$9,IF(Premissas!$B$59=2,ROUND('Custos mês a mês'!K$11/MAX(Premissas!$B$60,1),0),K3))</f>
        <v/>
      </c>
      <c r="L4" s="36">
        <f>IF(Premissas!$B$59=3,'Canais de aquisição'!M$9,IF(Premissas!$B$59=2,ROUND('Custos mês a mês'!L$11/MAX(Premissas!$B$60,1),0),L3))</f>
        <v/>
      </c>
      <c r="M4" s="36">
        <f>IF(Premissas!$B$59=3,'Canais de aquisição'!N$9,IF(Premissas!$B$59=2,ROUND('Custos mês a mês'!M$11/MAX(Premissas!$B$60,1),0),M3))</f>
        <v/>
      </c>
      <c r="N4" s="36">
        <f>IF(Premissas!$B$59=3,'Canais de aquisição'!O$9,IF(Premissas!$B$59=2,ROUND('Custos mês a mês'!N$11/MAX(Premissas!$B$60,1),0),N3))</f>
        <v/>
      </c>
      <c r="O4" s="36">
        <f>IF(Premissas!$B$59=3,'Canais de aquisição'!P$9,IF(Premissas!$B$59=2,ROUND('Custos mês a mês'!O$11/MAX(Premissas!$B$60,1),0),O3))</f>
        <v/>
      </c>
      <c r="P4" s="36">
        <f>IF(Premissas!$B$59=3,'Canais de aquisição'!Q$9,IF(Premissas!$B$59=2,ROUND('Custos mês a mês'!P$11/MAX(Premissas!$B$60,1),0),P3))</f>
        <v/>
      </c>
      <c r="Q4" s="36">
        <f>IF(Premissas!$B$59=3,'Canais de aquisição'!R$9,IF(Premissas!$B$59=2,ROUND('Custos mês a mês'!Q$11/MAX(Premissas!$B$60,1),0),Q3))</f>
        <v/>
      </c>
      <c r="R4" s="36">
        <f>IF(Premissas!$B$59=3,'Canais de aquisição'!S$9,IF(Premissas!$B$59=2,ROUND('Custos mês a mês'!R$11/MAX(Premissas!$B$60,1),0),R3))</f>
        <v/>
      </c>
      <c r="S4" s="36">
        <f>IF(Premissas!$B$59=3,'Canais de aquisição'!T$9,IF(Premissas!$B$59=2,ROUND('Custos mês a mês'!S$11/MAX(Premissas!$B$60,1),0),S3))</f>
        <v/>
      </c>
      <c r="U4" s="37">
        <f>Premissas!$B$90</f>
        <v/>
      </c>
    </row>
    <row r="5">
      <c r="A5" t="inlineStr">
        <is>
          <t>CAC realizado (marketing + canais ÷ matrículas)</t>
        </is>
      </c>
      <c r="B5" s="29">
        <f>IF(B4=0,0,('Custos mês a mês'!B$11+'Canais de aquisição'!C$10)/B4)</f>
        <v/>
      </c>
      <c r="C5" s="29">
        <f>IF(C4=0,0,('Custos mês a mês'!C$11+'Canais de aquisição'!D$10)/C4)</f>
        <v/>
      </c>
      <c r="D5" s="29">
        <f>IF(D4=0,0,('Custos mês a mês'!D$11+'Canais de aquisição'!E$10)/D4)</f>
        <v/>
      </c>
      <c r="E5" s="29">
        <f>IF(E4=0,0,('Custos mês a mês'!E$11+'Canais de aquisição'!F$10)/E4)</f>
        <v/>
      </c>
      <c r="F5" s="29">
        <f>IF(F4=0,0,('Custos mês a mês'!F$11+'Canais de aquisição'!G$10)/F4)</f>
        <v/>
      </c>
      <c r="G5" s="29">
        <f>IF(G4=0,0,('Custos mês a mês'!G$11+'Canais de aquisição'!H$10)/G4)</f>
        <v/>
      </c>
      <c r="H5" s="29">
        <f>IF(H4=0,0,('Custos mês a mês'!H$11+'Canais de aquisição'!I$10)/H4)</f>
        <v/>
      </c>
      <c r="I5" s="29">
        <f>IF(I4=0,0,('Custos mês a mês'!I$11+'Canais de aquisição'!J$10)/I4)</f>
        <v/>
      </c>
      <c r="J5" s="29">
        <f>IF(J4=0,0,('Custos mês a mês'!J$11+'Canais de aquisição'!K$10)/J4)</f>
        <v/>
      </c>
      <c r="K5" s="29">
        <f>IF(K4=0,0,('Custos mês a mês'!K$11+'Canais de aquisição'!L$10)/K4)</f>
        <v/>
      </c>
      <c r="L5" s="29">
        <f>IF(L4=0,0,('Custos mês a mês'!L$11+'Canais de aquisição'!M$10)/L4)</f>
        <v/>
      </c>
      <c r="M5" s="29">
        <f>IF(M4=0,0,('Custos mês a mês'!M$11+'Canais de aquisição'!N$10)/M4)</f>
        <v/>
      </c>
      <c r="N5" s="29">
        <f>IF(N4=0,0,('Custos mês a mês'!N$11+'Canais de aquisição'!O$10)/N4)</f>
        <v/>
      </c>
      <c r="O5" s="29">
        <f>IF(O4=0,0,('Custos mês a mês'!O$11+'Canais de aquisição'!P$10)/O4)</f>
        <v/>
      </c>
      <c r="P5" s="29">
        <f>IF(P4=0,0,('Custos mês a mês'!P$11+'Canais de aquisição'!Q$10)/P4)</f>
        <v/>
      </c>
      <c r="Q5" s="29">
        <f>IF(Q4=0,0,('Custos mês a mês'!Q$11+'Canais de aquisição'!R$10)/Q4)</f>
        <v/>
      </c>
      <c r="R5" s="29">
        <f>IF(R4=0,0,('Custos mês a mês'!R$11+'Canais de aquisição'!S$10)/R4)</f>
        <v/>
      </c>
      <c r="S5" s="29">
        <f>IF(S4=0,0,('Custos mês a mês'!S$11+'Canais de aquisição'!T$10)/S4)</f>
        <v/>
      </c>
    </row>
    <row r="6">
      <c r="A6" t="inlineStr">
        <is>
          <t>Desistências no mês</t>
        </is>
      </c>
      <c r="B6" s="30" t="n">
        <v>0</v>
      </c>
      <c r="C6" s="30">
        <f>B7*Premissas!$B$8*Premissas!$B$55</f>
        <v/>
      </c>
      <c r="D6" s="30">
        <f>C7*Premissas!$B$8*Premissas!$B$56</f>
        <v/>
      </c>
      <c r="E6" s="30">
        <f>D7*Premissas!$B$8*Premissas!$B$45</f>
        <v/>
      </c>
      <c r="F6" s="30">
        <f>E7*Premissas!$B$8*Premissas!$B$46</f>
        <v/>
      </c>
      <c r="G6" s="30">
        <f>F7*Premissas!$B$8*Premissas!$B$47</f>
        <v/>
      </c>
      <c r="H6" s="30">
        <f>G7*Premissas!$B$8*Premissas!$B$48</f>
        <v/>
      </c>
      <c r="I6" s="30">
        <f>H7*Premissas!$B$8*Premissas!$B$49</f>
        <v/>
      </c>
      <c r="J6" s="30">
        <f>I7*Premissas!$B$8*Premissas!$B$50</f>
        <v/>
      </c>
      <c r="K6" s="30">
        <f>J7*Premissas!$B$8*Premissas!$B$51</f>
        <v/>
      </c>
      <c r="L6" s="30">
        <f>K7*Premissas!$B$8*Premissas!$B$52</f>
        <v/>
      </c>
      <c r="M6" s="30">
        <f>L7*Premissas!$B$8*Premissas!$B$53</f>
        <v/>
      </c>
      <c r="N6" s="30">
        <f>M7*Premissas!$B$8*Premissas!$B$54</f>
        <v/>
      </c>
      <c r="O6" s="30">
        <f>N7*Premissas!$B$8*Premissas!$B$55</f>
        <v/>
      </c>
      <c r="P6" s="30">
        <f>O7*Premissas!$B$8*Premissas!$B$56</f>
        <v/>
      </c>
      <c r="Q6" s="30">
        <f>P7*Premissas!$B$8*Premissas!$B$45</f>
        <v/>
      </c>
      <c r="R6" s="30">
        <f>Q7*Premissas!$B$8*Premissas!$B$46</f>
        <v/>
      </c>
      <c r="S6" s="30">
        <f>R7*Premissas!$B$8*Premissas!$B$47</f>
        <v/>
      </c>
      <c r="U6" s="38" t="inlineStr">
        <is>
          <t>🟢 VERDE FORTE = mês do BREAK-EVEN</t>
        </is>
      </c>
    </row>
    <row r="7">
      <c r="A7" s="14" t="inlineStr">
        <is>
          <t>Total de alunos</t>
        </is>
      </c>
      <c r="B7" s="39">
        <f>B4</f>
        <v/>
      </c>
      <c r="C7" s="39">
        <f>B7-C6+C4</f>
        <v/>
      </c>
      <c r="D7" s="39">
        <f>C7-D6+D4</f>
        <v/>
      </c>
      <c r="E7" s="39">
        <f>D7-E6+E4</f>
        <v/>
      </c>
      <c r="F7" s="39">
        <f>E7-F6+F4</f>
        <v/>
      </c>
      <c r="G7" s="39">
        <f>F7-G6+G4</f>
        <v/>
      </c>
      <c r="H7" s="39">
        <f>G7-H6+H4</f>
        <v/>
      </c>
      <c r="I7" s="39">
        <f>H7-I6+I4</f>
        <v/>
      </c>
      <c r="J7" s="39">
        <f>I7-J6+J4</f>
        <v/>
      </c>
      <c r="K7" s="39">
        <f>J7-K6+K4</f>
        <v/>
      </c>
      <c r="L7" s="39">
        <f>K7-L6+L4</f>
        <v/>
      </c>
      <c r="M7" s="39">
        <f>L7-M6+M4</f>
        <v/>
      </c>
      <c r="N7" s="39">
        <f>M7-N6+N4</f>
        <v/>
      </c>
      <c r="O7" s="39">
        <f>N7-O6+O4</f>
        <v/>
      </c>
      <c r="P7" s="39">
        <f>O7-P6+P4</f>
        <v/>
      </c>
      <c r="Q7" s="39">
        <f>P7-Q6+Q4</f>
        <v/>
      </c>
      <c r="R7" s="39">
        <f>Q7-R6+R4</f>
        <v/>
      </c>
      <c r="S7" s="39">
        <f>R7-S6+S4</f>
        <v/>
      </c>
      <c r="U7" s="40" t="inlineStr">
        <is>
          <t>🟦 AZUL = mês do PAYBACK</t>
        </is>
      </c>
    </row>
    <row r="8">
      <c r="A8" t="inlineStr">
        <is>
          <t>Professores necessários</t>
        </is>
      </c>
      <c r="B8" s="27" t="n">
        <v>0</v>
      </c>
      <c r="C8" s="27" t="n">
        <v>0</v>
      </c>
      <c r="D8" s="27">
        <f>CEILING(CEILING(D7*Premissas!$B$37/Premissas!$B$27,1)*Premissas!$B$28/Premissas!$B$34,1)+CEILING(CEILING(D7*Premissas!$B$38/Premissas!$B$30,1)*Premissas!$B$31/Premissas!$B$34,1)</f>
        <v/>
      </c>
      <c r="E8" s="27">
        <f>CEILING(CEILING(E7*Premissas!$B$37/Premissas!$B$27,1)*Premissas!$B$28/Premissas!$B$34,1)+CEILING(CEILING(E7*Premissas!$B$38/Premissas!$B$30,1)*Premissas!$B$31/Premissas!$B$34,1)</f>
        <v/>
      </c>
      <c r="F8" s="27">
        <f>CEILING(CEILING(F7*Premissas!$B$37/Premissas!$B$27,1)*Premissas!$B$28/Premissas!$B$34,1)+CEILING(CEILING(F7*Premissas!$B$38/Premissas!$B$30,1)*Premissas!$B$31/Premissas!$B$34,1)</f>
        <v/>
      </c>
      <c r="G8" s="27">
        <f>CEILING(CEILING(G7*Premissas!$B$37/Premissas!$B$27,1)*Premissas!$B$28/Premissas!$B$34,1)+CEILING(CEILING(G7*Premissas!$B$38/Premissas!$B$30,1)*Premissas!$B$31/Premissas!$B$34,1)</f>
        <v/>
      </c>
      <c r="H8" s="27">
        <f>CEILING(CEILING(H7*Premissas!$B$37/Premissas!$B$27,1)*Premissas!$B$28/Premissas!$B$34,1)+CEILING(CEILING(H7*Premissas!$B$38/Premissas!$B$30,1)*Premissas!$B$31/Premissas!$B$34,1)</f>
        <v/>
      </c>
      <c r="I8" s="27">
        <f>CEILING(CEILING(I7*Premissas!$B$37/Premissas!$B$27,1)*Premissas!$B$28/Premissas!$B$34,1)+CEILING(CEILING(I7*Premissas!$B$38/Premissas!$B$30,1)*Premissas!$B$31/Premissas!$B$34,1)</f>
        <v/>
      </c>
      <c r="J8" s="27">
        <f>CEILING(CEILING(J7*Premissas!$B$37/Premissas!$B$27,1)*Premissas!$B$28/Premissas!$B$34,1)+CEILING(CEILING(J7*Premissas!$B$38/Premissas!$B$30,1)*Premissas!$B$31/Premissas!$B$34,1)</f>
        <v/>
      </c>
      <c r="K8" s="27">
        <f>CEILING(CEILING(K7*Premissas!$B$37/Premissas!$B$27,1)*Premissas!$B$28/Premissas!$B$34,1)+CEILING(CEILING(K7*Premissas!$B$38/Premissas!$B$30,1)*Premissas!$B$31/Premissas!$B$34,1)</f>
        <v/>
      </c>
      <c r="L8" s="27">
        <f>CEILING(CEILING(L7*Premissas!$B$37/Premissas!$B$27,1)*Premissas!$B$28/Premissas!$B$34,1)+CEILING(CEILING(L7*Premissas!$B$38/Premissas!$B$30,1)*Premissas!$B$31/Premissas!$B$34,1)</f>
        <v/>
      </c>
      <c r="M8" s="27">
        <f>CEILING(CEILING(M7*Premissas!$B$37/Premissas!$B$27,1)*Premissas!$B$28/Premissas!$B$34,1)+CEILING(CEILING(M7*Premissas!$B$38/Premissas!$B$30,1)*Premissas!$B$31/Premissas!$B$34,1)</f>
        <v/>
      </c>
      <c r="N8" s="27">
        <f>CEILING(CEILING(N7*Premissas!$B$37/Premissas!$B$27,1)*Premissas!$B$28/Premissas!$B$34,1)+CEILING(CEILING(N7*Premissas!$B$38/Premissas!$B$30,1)*Premissas!$B$31/Premissas!$B$34,1)</f>
        <v/>
      </c>
      <c r="O8" s="27">
        <f>CEILING(CEILING(O7*Premissas!$B$37/Premissas!$B$27,1)*Premissas!$B$28/Premissas!$B$34,1)+CEILING(CEILING(O7*Premissas!$B$38/Premissas!$B$30,1)*Premissas!$B$31/Premissas!$B$34,1)</f>
        <v/>
      </c>
      <c r="P8" s="27">
        <f>CEILING(CEILING(P7*Premissas!$B$37/Premissas!$B$27,1)*Premissas!$B$28/Premissas!$B$34,1)+CEILING(CEILING(P7*Premissas!$B$38/Premissas!$B$30,1)*Premissas!$B$31/Premissas!$B$34,1)</f>
        <v/>
      </c>
      <c r="Q8" s="27">
        <f>CEILING(CEILING(Q7*Premissas!$B$37/Premissas!$B$27,1)*Premissas!$B$28/Premissas!$B$34,1)+CEILING(CEILING(Q7*Premissas!$B$38/Premissas!$B$30,1)*Premissas!$B$31/Premissas!$B$34,1)</f>
        <v/>
      </c>
      <c r="R8" s="27">
        <f>CEILING(CEILING(R7*Premissas!$B$37/Premissas!$B$27,1)*Premissas!$B$28/Premissas!$B$34,1)+CEILING(CEILING(R7*Premissas!$B$38/Premissas!$B$30,1)*Premissas!$B$31/Premissas!$B$34,1)</f>
        <v/>
      </c>
      <c r="S8" s="27">
        <f>CEILING(CEILING(S7*Premissas!$B$37/Premissas!$B$27,1)*Premissas!$B$28/Premissas!$B$34,1)+CEILING(CEILING(S7*Premissas!$B$38/Premissas!$B$30,1)*Premissas!$B$31/Premissas!$B$34,1)</f>
        <v/>
      </c>
      <c r="U8" s="41" t="inlineStr">
        <is>
          <t>🟩 verde claro = meses já positivos</t>
        </is>
      </c>
    </row>
    <row r="9">
      <c r="A9" t="inlineStr">
        <is>
          <t>Ocupação das salas (100% = grade cheia)</t>
        </is>
      </c>
      <c r="B9" s="28" t="n">
        <v>0</v>
      </c>
      <c r="C9" s="28" t="n">
        <v>0</v>
      </c>
      <c r="D9" s="28">
        <f>MAX(CEILING(D7*Premissas!$B$37/Premissas!$B$27,1)*Premissas!$B$28/(Premissas!$B$26*Premissas!$B$32*Premissas!$B$33*Premissas!$B$25),CEILING(D7*Premissas!$B$38/Premissas!$B$30,1)*Premissas!$B$31/(Premissas!$B$29*Premissas!$B$32*Premissas!$B$33*Premissas!$B$25))</f>
        <v/>
      </c>
      <c r="E9" s="28">
        <f>MAX(CEILING(E7*Premissas!$B$37/Premissas!$B$27,1)*Premissas!$B$28/(Premissas!$B$26*Premissas!$B$32*Premissas!$B$33*Premissas!$B$25),CEILING(E7*Premissas!$B$38/Premissas!$B$30,1)*Premissas!$B$31/(Premissas!$B$29*Premissas!$B$32*Premissas!$B$33*Premissas!$B$25))</f>
        <v/>
      </c>
      <c r="F9" s="28">
        <f>MAX(CEILING(F7*Premissas!$B$37/Premissas!$B$27,1)*Premissas!$B$28/(Premissas!$B$26*Premissas!$B$32*Premissas!$B$33*Premissas!$B$25),CEILING(F7*Premissas!$B$38/Premissas!$B$30,1)*Premissas!$B$31/(Premissas!$B$29*Premissas!$B$32*Premissas!$B$33*Premissas!$B$25))</f>
        <v/>
      </c>
      <c r="G9" s="28">
        <f>MAX(CEILING(G7*Premissas!$B$37/Premissas!$B$27,1)*Premissas!$B$28/(Premissas!$B$26*Premissas!$B$32*Premissas!$B$33*Premissas!$B$25),CEILING(G7*Premissas!$B$38/Premissas!$B$30,1)*Premissas!$B$31/(Premissas!$B$29*Premissas!$B$32*Premissas!$B$33*Premissas!$B$25))</f>
        <v/>
      </c>
      <c r="H9" s="28">
        <f>MAX(CEILING(H7*Premissas!$B$37/Premissas!$B$27,1)*Premissas!$B$28/(Premissas!$B$26*Premissas!$B$32*Premissas!$B$33*Premissas!$B$25),CEILING(H7*Premissas!$B$38/Premissas!$B$30,1)*Premissas!$B$31/(Premissas!$B$29*Premissas!$B$32*Premissas!$B$33*Premissas!$B$25))</f>
        <v/>
      </c>
      <c r="I9" s="28">
        <f>MAX(CEILING(I7*Premissas!$B$37/Premissas!$B$27,1)*Premissas!$B$28/(Premissas!$B$26*Premissas!$B$32*Premissas!$B$33*Premissas!$B$25),CEILING(I7*Premissas!$B$38/Premissas!$B$30,1)*Premissas!$B$31/(Premissas!$B$29*Premissas!$B$32*Premissas!$B$33*Premissas!$B$25))</f>
        <v/>
      </c>
      <c r="J9" s="28">
        <f>MAX(CEILING(J7*Premissas!$B$37/Premissas!$B$27,1)*Premissas!$B$28/(Premissas!$B$26*Premissas!$B$32*Premissas!$B$33*Premissas!$B$25),CEILING(J7*Premissas!$B$38/Premissas!$B$30,1)*Premissas!$B$31/(Premissas!$B$29*Premissas!$B$32*Premissas!$B$33*Premissas!$B$25))</f>
        <v/>
      </c>
      <c r="K9" s="28">
        <f>MAX(CEILING(K7*Premissas!$B$37/Premissas!$B$27,1)*Premissas!$B$28/(Premissas!$B$26*Premissas!$B$32*Premissas!$B$33*Premissas!$B$25),CEILING(K7*Premissas!$B$38/Premissas!$B$30,1)*Premissas!$B$31/(Premissas!$B$29*Premissas!$B$32*Premissas!$B$33*Premissas!$B$25))</f>
        <v/>
      </c>
      <c r="L9" s="28">
        <f>MAX(CEILING(L7*Premissas!$B$37/Premissas!$B$27,1)*Premissas!$B$28/(Premissas!$B$26*Premissas!$B$32*Premissas!$B$33*Premissas!$B$25),CEILING(L7*Premissas!$B$38/Premissas!$B$30,1)*Premissas!$B$31/(Premissas!$B$29*Premissas!$B$32*Premissas!$B$33*Premissas!$B$25))</f>
        <v/>
      </c>
      <c r="M9" s="28">
        <f>MAX(CEILING(M7*Premissas!$B$37/Premissas!$B$27,1)*Premissas!$B$28/(Premissas!$B$26*Premissas!$B$32*Premissas!$B$33*Premissas!$B$25),CEILING(M7*Premissas!$B$38/Premissas!$B$30,1)*Premissas!$B$31/(Premissas!$B$29*Premissas!$B$32*Premissas!$B$33*Premissas!$B$25))</f>
        <v/>
      </c>
      <c r="N9" s="28">
        <f>MAX(CEILING(N7*Premissas!$B$37/Premissas!$B$27,1)*Premissas!$B$28/(Premissas!$B$26*Premissas!$B$32*Premissas!$B$33*Premissas!$B$25),CEILING(N7*Premissas!$B$38/Premissas!$B$30,1)*Premissas!$B$31/(Premissas!$B$29*Premissas!$B$32*Premissas!$B$33*Premissas!$B$25))</f>
        <v/>
      </c>
      <c r="O9" s="28">
        <f>MAX(CEILING(O7*Premissas!$B$37/Premissas!$B$27,1)*Premissas!$B$28/(Premissas!$B$26*Premissas!$B$32*Premissas!$B$33*Premissas!$B$25),CEILING(O7*Premissas!$B$38/Premissas!$B$30,1)*Premissas!$B$31/(Premissas!$B$29*Premissas!$B$32*Premissas!$B$33*Premissas!$B$25))</f>
        <v/>
      </c>
      <c r="P9" s="28">
        <f>MAX(CEILING(P7*Premissas!$B$37/Premissas!$B$27,1)*Premissas!$B$28/(Premissas!$B$26*Premissas!$B$32*Premissas!$B$33*Premissas!$B$25),CEILING(P7*Premissas!$B$38/Premissas!$B$30,1)*Premissas!$B$31/(Premissas!$B$29*Premissas!$B$32*Premissas!$B$33*Premissas!$B$25))</f>
        <v/>
      </c>
      <c r="Q9" s="28">
        <f>MAX(CEILING(Q7*Premissas!$B$37/Premissas!$B$27,1)*Premissas!$B$28/(Premissas!$B$26*Premissas!$B$32*Premissas!$B$33*Premissas!$B$25),CEILING(Q7*Premissas!$B$38/Premissas!$B$30,1)*Premissas!$B$31/(Premissas!$B$29*Premissas!$B$32*Premissas!$B$33*Premissas!$B$25))</f>
        <v/>
      </c>
      <c r="R9" s="28">
        <f>MAX(CEILING(R7*Premissas!$B$37/Premissas!$B$27,1)*Premissas!$B$28/(Premissas!$B$26*Premissas!$B$32*Premissas!$B$33*Premissas!$B$25),CEILING(R7*Premissas!$B$38/Premissas!$B$30,1)*Premissas!$B$31/(Premissas!$B$29*Premissas!$B$32*Premissas!$B$33*Premissas!$B$25))</f>
        <v/>
      </c>
      <c r="S9" s="28">
        <f>MAX(CEILING(S7*Premissas!$B$37/Premissas!$B$27,1)*Premissas!$B$28/(Premissas!$B$26*Premissas!$B$32*Premissas!$B$33*Premissas!$B$25),CEILING(S7*Premissas!$B$38/Premissas!$B$30,1)*Premissas!$B$31/(Premissas!$B$29*Premissas!$B$32*Premissas!$B$33*Premissas!$B$25))</f>
        <v/>
      </c>
    </row>
    <row r="11">
      <c r="A11" s="8" t="inlineStr">
        <is>
          <t>RECEITA RECEBIDA (caixa)</t>
        </is>
      </c>
    </row>
    <row r="12">
      <c r="A12" t="inlineStr">
        <is>
          <t>Matrícula</t>
        </is>
      </c>
      <c r="B12" s="29">
        <f>B4*Premissas!$B$3</f>
        <v/>
      </c>
      <c r="C12" s="29">
        <f>C4*Premissas!$B$3</f>
        <v/>
      </c>
      <c r="D12" s="29">
        <f>D4*Premissas!$B$3</f>
        <v/>
      </c>
      <c r="E12" s="29">
        <f>E4*Premissas!$B$3</f>
        <v/>
      </c>
      <c r="F12" s="29">
        <f>F4*Premissas!$B$3</f>
        <v/>
      </c>
      <c r="G12" s="29">
        <f>G4*Premissas!$B$3</f>
        <v/>
      </c>
      <c r="H12" s="29">
        <f>H4*Premissas!$B$3</f>
        <v/>
      </c>
      <c r="I12" s="29">
        <f>I4*Premissas!$B$3</f>
        <v/>
      </c>
      <c r="J12" s="29">
        <f>J4*Premissas!$B$3</f>
        <v/>
      </c>
      <c r="K12" s="29">
        <f>K4*Premissas!$B$3</f>
        <v/>
      </c>
      <c r="L12" s="29">
        <f>L4*Premissas!$B$3</f>
        <v/>
      </c>
      <c r="M12" s="29">
        <f>M4*Premissas!$B$3</f>
        <v/>
      </c>
      <c r="N12" s="29">
        <f>N4*Premissas!$B$3</f>
        <v/>
      </c>
      <c r="O12" s="29">
        <f>O4*Premissas!$B$3</f>
        <v/>
      </c>
      <c r="P12" s="29">
        <f>P4*Premissas!$B$3</f>
        <v/>
      </c>
      <c r="Q12" s="29">
        <f>Q4*Premissas!$B$3</f>
        <v/>
      </c>
      <c r="R12" s="29">
        <f>R4*Premissas!$B$3</f>
        <v/>
      </c>
      <c r="S12" s="29">
        <f>S4*Premissas!$B$3</f>
        <v/>
      </c>
    </row>
    <row r="13">
      <c r="A13" t="inlineStr">
        <is>
          <t>Mensalidade recebida (líq. de inadimplência)</t>
        </is>
      </c>
      <c r="B13" s="29" t="n">
        <v>0</v>
      </c>
      <c r="C13" s="29" t="n">
        <v>0</v>
      </c>
      <c r="D13" s="29">
        <f>C7*Premissas!$B$2*(1-Premissas!$B$9)</f>
        <v/>
      </c>
      <c r="E13" s="29">
        <f>D7*Premissas!$B$2*(1-Premissas!$B$9)</f>
        <v/>
      </c>
      <c r="F13" s="29">
        <f>E7*Premissas!$B$2*(1-Premissas!$B$9)</f>
        <v/>
      </c>
      <c r="G13" s="29">
        <f>F7*Premissas!$B$2*(1-Premissas!$B$9)</f>
        <v/>
      </c>
      <c r="H13" s="29">
        <f>G7*Premissas!$B$2*(1-Premissas!$B$9)</f>
        <v/>
      </c>
      <c r="I13" s="29">
        <f>H7*Premissas!$B$2*(1-Premissas!$B$9)</f>
        <v/>
      </c>
      <c r="J13" s="29">
        <f>I7*Premissas!$B$2*(1-Premissas!$B$9)</f>
        <v/>
      </c>
      <c r="K13" s="29">
        <f>J7*Premissas!$B$2*(1-Premissas!$B$9)</f>
        <v/>
      </c>
      <c r="L13" s="29">
        <f>K7*Premissas!$B$2*(1-Premissas!$B$9)</f>
        <v/>
      </c>
      <c r="M13" s="29">
        <f>L7*Premissas!$B$2*(1-Premissas!$B$9)</f>
        <v/>
      </c>
      <c r="N13" s="29">
        <f>M7*Premissas!$B$2*(1-Premissas!$B$9)</f>
        <v/>
      </c>
      <c r="O13" s="29">
        <f>N7*Premissas!$B$2*(1-Premissas!$B$9)</f>
        <v/>
      </c>
      <c r="P13" s="29">
        <f>O7*Premissas!$B$2*(1-Premissas!$B$9)</f>
        <v/>
      </c>
      <c r="Q13" s="29">
        <f>P7*Premissas!$B$2*(1-Premissas!$B$9)</f>
        <v/>
      </c>
      <c r="R13" s="29">
        <f>Q7*Premissas!$B$2*(1-Premissas!$B$9)</f>
        <v/>
      </c>
      <c r="S13" s="29">
        <f>R7*Premissas!$B$2*(1-Premissas!$B$9)</f>
        <v/>
      </c>
    </row>
    <row r="14">
      <c r="A14" t="inlineStr">
        <is>
          <t>Material antecipado no cartão</t>
        </is>
      </c>
      <c r="B14" s="29">
        <f>B4*Premissas!$B$5</f>
        <v/>
      </c>
      <c r="C14" s="29">
        <f>C4*Premissas!$B$5</f>
        <v/>
      </c>
      <c r="D14" s="29">
        <f>D4*Premissas!$B$5</f>
        <v/>
      </c>
      <c r="E14" s="29">
        <f>E4*Premissas!$B$5</f>
        <v/>
      </c>
      <c r="F14" s="29">
        <f>F4*Premissas!$B$5</f>
        <v/>
      </c>
      <c r="G14" s="29">
        <f>G4*Premissas!$B$5</f>
        <v/>
      </c>
      <c r="H14" s="29">
        <f>H4*Premissas!$B$5</f>
        <v/>
      </c>
      <c r="I14" s="29">
        <f>I4*Premissas!$B$5</f>
        <v/>
      </c>
      <c r="J14" s="29">
        <f>J4*Premissas!$B$5</f>
        <v/>
      </c>
      <c r="K14" s="29">
        <f>K4*Premissas!$B$5</f>
        <v/>
      </c>
      <c r="L14" s="29">
        <f>L4*Premissas!$B$5</f>
        <v/>
      </c>
      <c r="M14" s="29">
        <f>M4*Premissas!$B$5</f>
        <v/>
      </c>
      <c r="N14" s="29">
        <f>N4*Premissas!$B$5</f>
        <v/>
      </c>
      <c r="O14" s="29">
        <f>O4*Premissas!$B$5</f>
        <v/>
      </c>
      <c r="P14" s="29">
        <f>P4*Premissas!$B$5</f>
        <v/>
      </c>
      <c r="Q14" s="29">
        <f>Q4*Premissas!$B$5</f>
        <v/>
      </c>
      <c r="R14" s="29">
        <f>R4*Premissas!$B$5</f>
        <v/>
      </c>
      <c r="S14" s="29">
        <f>S4*Premissas!$B$5</f>
        <v/>
      </c>
    </row>
    <row r="15">
      <c r="A15" s="42" t="inlineStr">
        <is>
          <t>Receita recebida</t>
        </is>
      </c>
      <c r="B15" s="24">
        <f>SUM(B12:B14)</f>
        <v/>
      </c>
      <c r="C15" s="24">
        <f>SUM(C12:C14)</f>
        <v/>
      </c>
      <c r="D15" s="24">
        <f>SUM(D12:D14)</f>
        <v/>
      </c>
      <c r="E15" s="24">
        <f>SUM(E12:E14)</f>
        <v/>
      </c>
      <c r="F15" s="24">
        <f>SUM(F12:F14)</f>
        <v/>
      </c>
      <c r="G15" s="24">
        <f>SUM(G12:G14)</f>
        <v/>
      </c>
      <c r="H15" s="24">
        <f>SUM(H12:H14)</f>
        <v/>
      </c>
      <c r="I15" s="24">
        <f>SUM(I12:I14)</f>
        <v/>
      </c>
      <c r="J15" s="24">
        <f>SUM(J12:J14)</f>
        <v/>
      </c>
      <c r="K15" s="24">
        <f>SUM(K12:K14)</f>
        <v/>
      </c>
      <c r="L15" s="24">
        <f>SUM(L12:L14)</f>
        <v/>
      </c>
      <c r="M15" s="24">
        <f>SUM(M12:M14)</f>
        <v/>
      </c>
      <c r="N15" s="24">
        <f>SUM(N12:N14)</f>
        <v/>
      </c>
      <c r="O15" s="24">
        <f>SUM(O12:O14)</f>
        <v/>
      </c>
      <c r="P15" s="24">
        <f>SUM(P12:P14)</f>
        <v/>
      </c>
      <c r="Q15" s="24">
        <f>SUM(Q12:Q14)</f>
        <v/>
      </c>
      <c r="R15" s="24">
        <f>SUM(R12:R14)</f>
        <v/>
      </c>
      <c r="S15" s="24">
        <f>SUM(S12:S14)</f>
        <v/>
      </c>
    </row>
    <row r="17">
      <c r="A17" s="8" t="inlineStr">
        <is>
          <t>BASE DO SIMPLES NACIONAL</t>
        </is>
      </c>
    </row>
    <row r="18">
      <c r="A18" t="inlineStr">
        <is>
          <t>Faturamento do mês (nota emitida)</t>
        </is>
      </c>
      <c r="B18" s="29">
        <f>B4*Premissas!$B$3+B4*Premissas!$B$4</f>
        <v/>
      </c>
      <c r="C18" s="29">
        <f>C4*Premissas!$B$3+C4*Premissas!$B$4</f>
        <v/>
      </c>
      <c r="D18" s="29">
        <f>D4*Premissas!$B$3+C7*Premissas!$B$2+D4*Premissas!$B$4</f>
        <v/>
      </c>
      <c r="E18" s="29">
        <f>E4*Premissas!$B$3+D7*Premissas!$B$2+E4*Premissas!$B$4</f>
        <v/>
      </c>
      <c r="F18" s="29">
        <f>F4*Premissas!$B$3+E7*Premissas!$B$2+F4*Premissas!$B$4</f>
        <v/>
      </c>
      <c r="G18" s="29">
        <f>G4*Premissas!$B$3+F7*Premissas!$B$2+G4*Premissas!$B$4</f>
        <v/>
      </c>
      <c r="H18" s="29">
        <f>H4*Premissas!$B$3+G7*Premissas!$B$2+H4*Premissas!$B$4</f>
        <v/>
      </c>
      <c r="I18" s="29">
        <f>I4*Premissas!$B$3+H7*Premissas!$B$2+I4*Premissas!$B$4</f>
        <v/>
      </c>
      <c r="J18" s="29">
        <f>J4*Premissas!$B$3+I7*Premissas!$B$2+J4*Premissas!$B$4</f>
        <v/>
      </c>
      <c r="K18" s="29">
        <f>K4*Premissas!$B$3+J7*Premissas!$B$2+K4*Premissas!$B$4</f>
        <v/>
      </c>
      <c r="L18" s="29">
        <f>L4*Premissas!$B$3+K7*Premissas!$B$2+L4*Premissas!$B$4</f>
        <v/>
      </c>
      <c r="M18" s="29">
        <f>M4*Premissas!$B$3+L7*Premissas!$B$2+M4*Premissas!$B$4</f>
        <v/>
      </c>
      <c r="N18" s="29">
        <f>N4*Premissas!$B$3+M7*Premissas!$B$2+N4*Premissas!$B$4</f>
        <v/>
      </c>
      <c r="O18" s="29">
        <f>O4*Premissas!$B$3+N7*Premissas!$B$2+O4*Premissas!$B$4</f>
        <v/>
      </c>
      <c r="P18" s="29">
        <f>P4*Premissas!$B$3+O7*Premissas!$B$2+P4*Premissas!$B$4</f>
        <v/>
      </c>
      <c r="Q18" s="29">
        <f>Q4*Premissas!$B$3+P7*Premissas!$B$2+Q4*Premissas!$B$4</f>
        <v/>
      </c>
      <c r="R18" s="29">
        <f>R4*Premissas!$B$3+Q7*Premissas!$B$2+R4*Premissas!$B$4</f>
        <v/>
      </c>
      <c r="S18" s="29">
        <f>S4*Premissas!$B$3+R7*Premissas!$B$2+S4*Premissas!$B$4</f>
        <v/>
      </c>
    </row>
    <row r="19">
      <c r="A19" t="inlineStr">
        <is>
          <t>RBT12 proporcionalizado</t>
        </is>
      </c>
      <c r="B19" s="29">
        <f>SUM($B$18:B18)/1*12</f>
        <v/>
      </c>
      <c r="C19" s="29">
        <f>SUM($B$18:C18)/2*12</f>
        <v/>
      </c>
      <c r="D19" s="29">
        <f>SUM($B$18:D18)/3*12</f>
        <v/>
      </c>
      <c r="E19" s="29">
        <f>SUM($B$18:E18)/4*12</f>
        <v/>
      </c>
      <c r="F19" s="29">
        <f>SUM($B$18:F18)/5*12</f>
        <v/>
      </c>
      <c r="G19" s="29">
        <f>SUM($B$18:G18)/6*12</f>
        <v/>
      </c>
      <c r="H19" s="29">
        <f>SUM($B$18:H18)/7*12</f>
        <v/>
      </c>
      <c r="I19" s="29">
        <f>SUM($B$18:I18)/8*12</f>
        <v/>
      </c>
      <c r="J19" s="29">
        <f>SUM($B$18:J18)/9*12</f>
        <v/>
      </c>
      <c r="K19" s="29">
        <f>SUM($B$18:K18)/10*12</f>
        <v/>
      </c>
      <c r="L19" s="29">
        <f>SUM($B$18:L18)/11*12</f>
        <v/>
      </c>
      <c r="M19" s="29">
        <f>SUM(B18:M18)</f>
        <v/>
      </c>
      <c r="N19" s="29">
        <f>SUM(C18:N18)</f>
        <v/>
      </c>
      <c r="O19" s="29">
        <f>SUM(D18:O18)</f>
        <v/>
      </c>
      <c r="P19" s="29">
        <f>SUM(E18:P18)</f>
        <v/>
      </c>
      <c r="Q19" s="29">
        <f>SUM(F18:Q18)</f>
        <v/>
      </c>
      <c r="R19" s="29">
        <f>SUM(G18:R18)</f>
        <v/>
      </c>
      <c r="S19" s="29">
        <f>SUM(H18:S18)</f>
        <v/>
      </c>
    </row>
    <row r="20">
      <c r="A20" s="14" t="inlineStr">
        <is>
          <t>Alíquota efetiva do Simples</t>
        </is>
      </c>
      <c r="B20" s="43">
        <f>IF(B19=0,Premissas!$C$66,IF(B19&lt;=Premissas!$B$66,(B19*Premissas!$C$66-Premissas!$D$66)/B19,IF(B19&lt;=Premissas!$B$67,(B19*Premissas!$C$67-Premissas!$D$67)/B19,IF(B19&lt;=Premissas!$B$68,(B19*Premissas!$C$68-Premissas!$D$68)/B19,IF(B19&lt;=Premissas!$B$69,(B19*Premissas!$C$69-Premissas!$D$69)/B19,IF(B19&lt;=Premissas!$B$70,(B19*Premissas!$C$70-Premissas!$D$70)/B19,(B19*Premissas!$C$71-Premissas!$D$71)/B19))))))</f>
        <v/>
      </c>
      <c r="C20" s="43">
        <f>IF(C19=0,Premissas!$C$66,IF(C19&lt;=Premissas!$B$66,(C19*Premissas!$C$66-Premissas!$D$66)/C19,IF(C19&lt;=Premissas!$B$67,(C19*Premissas!$C$67-Premissas!$D$67)/C19,IF(C19&lt;=Premissas!$B$68,(C19*Premissas!$C$68-Premissas!$D$68)/C19,IF(C19&lt;=Premissas!$B$69,(C19*Premissas!$C$69-Premissas!$D$69)/C19,IF(C19&lt;=Premissas!$B$70,(C19*Premissas!$C$70-Premissas!$D$70)/C19,(C19*Premissas!$C$71-Premissas!$D$71)/C19))))))</f>
        <v/>
      </c>
      <c r="D20" s="43">
        <f>IF(D19=0,Premissas!$C$66,IF(D19&lt;=Premissas!$B$66,(D19*Premissas!$C$66-Premissas!$D$66)/D19,IF(D19&lt;=Premissas!$B$67,(D19*Premissas!$C$67-Premissas!$D$67)/D19,IF(D19&lt;=Premissas!$B$68,(D19*Premissas!$C$68-Premissas!$D$68)/D19,IF(D19&lt;=Premissas!$B$69,(D19*Premissas!$C$69-Premissas!$D$69)/D19,IF(D19&lt;=Premissas!$B$70,(D19*Premissas!$C$70-Premissas!$D$70)/D19,(D19*Premissas!$C$71-Premissas!$D$71)/D19))))))</f>
        <v/>
      </c>
      <c r="E20" s="43">
        <f>IF(E19=0,Premissas!$C$66,IF(E19&lt;=Premissas!$B$66,(E19*Premissas!$C$66-Premissas!$D$66)/E19,IF(E19&lt;=Premissas!$B$67,(E19*Premissas!$C$67-Premissas!$D$67)/E19,IF(E19&lt;=Premissas!$B$68,(E19*Premissas!$C$68-Premissas!$D$68)/E19,IF(E19&lt;=Premissas!$B$69,(E19*Premissas!$C$69-Premissas!$D$69)/E19,IF(E19&lt;=Premissas!$B$70,(E19*Premissas!$C$70-Premissas!$D$70)/E19,(E19*Premissas!$C$71-Premissas!$D$71)/E19))))))</f>
        <v/>
      </c>
      <c r="F20" s="43">
        <f>IF(F19=0,Premissas!$C$66,IF(F19&lt;=Premissas!$B$66,(F19*Premissas!$C$66-Premissas!$D$66)/F19,IF(F19&lt;=Premissas!$B$67,(F19*Premissas!$C$67-Premissas!$D$67)/F19,IF(F19&lt;=Premissas!$B$68,(F19*Premissas!$C$68-Premissas!$D$68)/F19,IF(F19&lt;=Premissas!$B$69,(F19*Premissas!$C$69-Premissas!$D$69)/F19,IF(F19&lt;=Premissas!$B$70,(F19*Premissas!$C$70-Premissas!$D$70)/F19,(F19*Premissas!$C$71-Premissas!$D$71)/F19))))))</f>
        <v/>
      </c>
      <c r="G20" s="43">
        <f>IF(G19=0,Premissas!$C$66,IF(G19&lt;=Premissas!$B$66,(G19*Premissas!$C$66-Premissas!$D$66)/G19,IF(G19&lt;=Premissas!$B$67,(G19*Premissas!$C$67-Premissas!$D$67)/G19,IF(G19&lt;=Premissas!$B$68,(G19*Premissas!$C$68-Premissas!$D$68)/G19,IF(G19&lt;=Premissas!$B$69,(G19*Premissas!$C$69-Premissas!$D$69)/G19,IF(G19&lt;=Premissas!$B$70,(G19*Premissas!$C$70-Premissas!$D$70)/G19,(G19*Premissas!$C$71-Premissas!$D$71)/G19))))))</f>
        <v/>
      </c>
      <c r="H20" s="43">
        <f>IF(H19=0,Premissas!$C$66,IF(H19&lt;=Premissas!$B$66,(H19*Premissas!$C$66-Premissas!$D$66)/H19,IF(H19&lt;=Premissas!$B$67,(H19*Premissas!$C$67-Premissas!$D$67)/H19,IF(H19&lt;=Premissas!$B$68,(H19*Premissas!$C$68-Premissas!$D$68)/H19,IF(H19&lt;=Premissas!$B$69,(H19*Premissas!$C$69-Premissas!$D$69)/H19,IF(H19&lt;=Premissas!$B$70,(H19*Premissas!$C$70-Premissas!$D$70)/H19,(H19*Premissas!$C$71-Premissas!$D$71)/H19))))))</f>
        <v/>
      </c>
      <c r="I20" s="43">
        <f>IF(I19=0,Premissas!$C$66,IF(I19&lt;=Premissas!$B$66,(I19*Premissas!$C$66-Premissas!$D$66)/I19,IF(I19&lt;=Premissas!$B$67,(I19*Premissas!$C$67-Premissas!$D$67)/I19,IF(I19&lt;=Premissas!$B$68,(I19*Premissas!$C$68-Premissas!$D$68)/I19,IF(I19&lt;=Premissas!$B$69,(I19*Premissas!$C$69-Premissas!$D$69)/I19,IF(I19&lt;=Premissas!$B$70,(I19*Premissas!$C$70-Premissas!$D$70)/I19,(I19*Premissas!$C$71-Premissas!$D$71)/I19))))))</f>
        <v/>
      </c>
      <c r="J20" s="43">
        <f>IF(J19=0,Premissas!$C$66,IF(J19&lt;=Premissas!$B$66,(J19*Premissas!$C$66-Premissas!$D$66)/J19,IF(J19&lt;=Premissas!$B$67,(J19*Premissas!$C$67-Premissas!$D$67)/J19,IF(J19&lt;=Premissas!$B$68,(J19*Premissas!$C$68-Premissas!$D$68)/J19,IF(J19&lt;=Premissas!$B$69,(J19*Premissas!$C$69-Premissas!$D$69)/J19,IF(J19&lt;=Premissas!$B$70,(J19*Premissas!$C$70-Premissas!$D$70)/J19,(J19*Premissas!$C$71-Premissas!$D$71)/J19))))))</f>
        <v/>
      </c>
      <c r="K20" s="43">
        <f>IF(K19=0,Premissas!$C$66,IF(K19&lt;=Premissas!$B$66,(K19*Premissas!$C$66-Premissas!$D$66)/K19,IF(K19&lt;=Premissas!$B$67,(K19*Premissas!$C$67-Premissas!$D$67)/K19,IF(K19&lt;=Premissas!$B$68,(K19*Premissas!$C$68-Premissas!$D$68)/K19,IF(K19&lt;=Premissas!$B$69,(K19*Premissas!$C$69-Premissas!$D$69)/K19,IF(K19&lt;=Premissas!$B$70,(K19*Premissas!$C$70-Premissas!$D$70)/K19,(K19*Premissas!$C$71-Premissas!$D$71)/K19))))))</f>
        <v/>
      </c>
      <c r="L20" s="43">
        <f>IF(L19=0,Premissas!$C$66,IF(L19&lt;=Premissas!$B$66,(L19*Premissas!$C$66-Premissas!$D$66)/L19,IF(L19&lt;=Premissas!$B$67,(L19*Premissas!$C$67-Premissas!$D$67)/L19,IF(L19&lt;=Premissas!$B$68,(L19*Premissas!$C$68-Premissas!$D$68)/L19,IF(L19&lt;=Premissas!$B$69,(L19*Premissas!$C$69-Premissas!$D$69)/L19,IF(L19&lt;=Premissas!$B$70,(L19*Premissas!$C$70-Premissas!$D$70)/L19,(L19*Premissas!$C$71-Premissas!$D$71)/L19))))))</f>
        <v/>
      </c>
      <c r="M20" s="43">
        <f>IF(M19=0,Premissas!$C$66,IF(M19&lt;=Premissas!$B$66,(M19*Premissas!$C$66-Premissas!$D$66)/M19,IF(M19&lt;=Premissas!$B$67,(M19*Premissas!$C$67-Premissas!$D$67)/M19,IF(M19&lt;=Premissas!$B$68,(M19*Premissas!$C$68-Premissas!$D$68)/M19,IF(M19&lt;=Premissas!$B$69,(M19*Premissas!$C$69-Premissas!$D$69)/M19,IF(M19&lt;=Premissas!$B$70,(M19*Premissas!$C$70-Premissas!$D$70)/M19,(M19*Premissas!$C$71-Premissas!$D$71)/M19))))))</f>
        <v/>
      </c>
      <c r="N20" s="43">
        <f>IF(N19=0,Premissas!$C$66,IF(N19&lt;=Premissas!$B$66,(N19*Premissas!$C$66-Premissas!$D$66)/N19,IF(N19&lt;=Premissas!$B$67,(N19*Premissas!$C$67-Premissas!$D$67)/N19,IF(N19&lt;=Premissas!$B$68,(N19*Premissas!$C$68-Premissas!$D$68)/N19,IF(N19&lt;=Premissas!$B$69,(N19*Premissas!$C$69-Premissas!$D$69)/N19,IF(N19&lt;=Premissas!$B$70,(N19*Premissas!$C$70-Premissas!$D$70)/N19,(N19*Premissas!$C$71-Premissas!$D$71)/N19))))))</f>
        <v/>
      </c>
      <c r="O20" s="43">
        <f>IF(O19=0,Premissas!$C$66,IF(O19&lt;=Premissas!$B$66,(O19*Premissas!$C$66-Premissas!$D$66)/O19,IF(O19&lt;=Premissas!$B$67,(O19*Premissas!$C$67-Premissas!$D$67)/O19,IF(O19&lt;=Premissas!$B$68,(O19*Premissas!$C$68-Premissas!$D$68)/O19,IF(O19&lt;=Premissas!$B$69,(O19*Premissas!$C$69-Premissas!$D$69)/O19,IF(O19&lt;=Premissas!$B$70,(O19*Premissas!$C$70-Premissas!$D$70)/O19,(O19*Premissas!$C$71-Premissas!$D$71)/O19))))))</f>
        <v/>
      </c>
      <c r="P20" s="43">
        <f>IF(P19=0,Premissas!$C$66,IF(P19&lt;=Premissas!$B$66,(P19*Premissas!$C$66-Premissas!$D$66)/P19,IF(P19&lt;=Premissas!$B$67,(P19*Premissas!$C$67-Premissas!$D$67)/P19,IF(P19&lt;=Premissas!$B$68,(P19*Premissas!$C$68-Premissas!$D$68)/P19,IF(P19&lt;=Premissas!$B$69,(P19*Premissas!$C$69-Premissas!$D$69)/P19,IF(P19&lt;=Premissas!$B$70,(P19*Premissas!$C$70-Premissas!$D$70)/P19,(P19*Premissas!$C$71-Premissas!$D$71)/P19))))))</f>
        <v/>
      </c>
      <c r="Q20" s="43">
        <f>IF(Q19=0,Premissas!$C$66,IF(Q19&lt;=Premissas!$B$66,(Q19*Premissas!$C$66-Premissas!$D$66)/Q19,IF(Q19&lt;=Premissas!$B$67,(Q19*Premissas!$C$67-Premissas!$D$67)/Q19,IF(Q19&lt;=Premissas!$B$68,(Q19*Premissas!$C$68-Premissas!$D$68)/Q19,IF(Q19&lt;=Premissas!$B$69,(Q19*Premissas!$C$69-Premissas!$D$69)/Q19,IF(Q19&lt;=Premissas!$B$70,(Q19*Premissas!$C$70-Premissas!$D$70)/Q19,(Q19*Premissas!$C$71-Premissas!$D$71)/Q19))))))</f>
        <v/>
      </c>
      <c r="R20" s="43">
        <f>IF(R19=0,Premissas!$C$66,IF(R19&lt;=Premissas!$B$66,(R19*Premissas!$C$66-Premissas!$D$66)/R19,IF(R19&lt;=Premissas!$B$67,(R19*Premissas!$C$67-Premissas!$D$67)/R19,IF(R19&lt;=Premissas!$B$68,(R19*Premissas!$C$68-Premissas!$D$68)/R19,IF(R19&lt;=Premissas!$B$69,(R19*Premissas!$C$69-Premissas!$D$69)/R19,IF(R19&lt;=Premissas!$B$70,(R19*Premissas!$C$70-Premissas!$D$70)/R19,(R19*Premissas!$C$71-Premissas!$D$71)/R19))))))</f>
        <v/>
      </c>
      <c r="S20" s="43">
        <f>IF(S19=0,Premissas!$C$66,IF(S19&lt;=Premissas!$B$66,(S19*Premissas!$C$66-Premissas!$D$66)/S19,IF(S19&lt;=Premissas!$B$67,(S19*Premissas!$C$67-Premissas!$D$67)/S19,IF(S19&lt;=Premissas!$B$68,(S19*Premissas!$C$68-Premissas!$D$68)/S19,IF(S19&lt;=Premissas!$B$69,(S19*Premissas!$C$69-Premissas!$D$69)/S19,IF(S19&lt;=Premissas!$B$70,(S19*Premissas!$C$70-Premissas!$D$70)/S19,(S19*Premissas!$C$71-Premissas!$D$71)/S19))))))</f>
        <v/>
      </c>
    </row>
    <row r="22">
      <c r="A22" s="8" t="inlineStr">
        <is>
          <t>DESPESAS</t>
        </is>
      </c>
    </row>
    <row r="23">
      <c r="A23" t="inlineStr">
        <is>
          <t>Impostos (Simples progressivo)</t>
        </is>
      </c>
      <c r="B23" s="29">
        <f>B18*B20</f>
        <v/>
      </c>
      <c r="C23" s="29">
        <f>C18*C20</f>
        <v/>
      </c>
      <c r="D23" s="29">
        <f>D18*D20</f>
        <v/>
      </c>
      <c r="E23" s="29">
        <f>E18*E20</f>
        <v/>
      </c>
      <c r="F23" s="29">
        <f>F18*F20</f>
        <v/>
      </c>
      <c r="G23" s="29">
        <f>G18*G20</f>
        <v/>
      </c>
      <c r="H23" s="29">
        <f>H18*H20</f>
        <v/>
      </c>
      <c r="I23" s="29">
        <f>I18*I20</f>
        <v/>
      </c>
      <c r="J23" s="29">
        <f>J18*J20</f>
        <v/>
      </c>
      <c r="K23" s="29">
        <f>K18*K20</f>
        <v/>
      </c>
      <c r="L23" s="29">
        <f>L18*L20</f>
        <v/>
      </c>
      <c r="M23" s="29">
        <f>M18*M20</f>
        <v/>
      </c>
      <c r="N23" s="29">
        <f>N18*N20</f>
        <v/>
      </c>
      <c r="O23" s="29">
        <f>O18*O20</f>
        <v/>
      </c>
      <c r="P23" s="29">
        <f>P18*P20</f>
        <v/>
      </c>
      <c r="Q23" s="29">
        <f>Q18*Q20</f>
        <v/>
      </c>
      <c r="R23" s="29">
        <f>R18*R20</f>
        <v/>
      </c>
      <c r="S23" s="29">
        <f>S18*S20</f>
        <v/>
      </c>
    </row>
    <row r="24">
      <c r="A24" t="inlineStr">
        <is>
          <t>Material — parcelas 12x</t>
        </is>
      </c>
      <c r="B24" s="29" t="n">
        <v>0</v>
      </c>
      <c r="C24" s="29" t="n">
        <v>0</v>
      </c>
      <c r="D24" s="29">
        <f>SUM($B$4:D4)*Premissas!$B$6/12</f>
        <v/>
      </c>
      <c r="E24" s="29">
        <f>SUM($B$4:E4)*Premissas!$B$6/12</f>
        <v/>
      </c>
      <c r="F24" s="29">
        <f>SUM($B$4:F4)*Premissas!$B$6/12</f>
        <v/>
      </c>
      <c r="G24" s="29">
        <f>SUM($B$4:G4)*Premissas!$B$6/12</f>
        <v/>
      </c>
      <c r="H24" s="29">
        <f>SUM($B$4:H4)*Premissas!$B$6/12</f>
        <v/>
      </c>
      <c r="I24" s="29">
        <f>SUM($B$4:I4)*Premissas!$B$6/12</f>
        <v/>
      </c>
      <c r="J24" s="29">
        <f>SUM($B$4:J4)*Premissas!$B$6/12</f>
        <v/>
      </c>
      <c r="K24" s="29">
        <f>SUM($B$4:K4)*Premissas!$B$6/12</f>
        <v/>
      </c>
      <c r="L24" s="29">
        <f>SUM($B$4:L4)*Premissas!$B$6/12</f>
        <v/>
      </c>
      <c r="M24" s="29">
        <f>SUM($B$4:M4)*Premissas!$B$6/12</f>
        <v/>
      </c>
      <c r="N24" s="29">
        <f>SUM($B$4:N4)*Premissas!$B$6/12</f>
        <v/>
      </c>
      <c r="O24" s="29">
        <f>SUM($B$4:O4)*Premissas!$B$6/12</f>
        <v/>
      </c>
      <c r="P24" s="29">
        <f>SUM(E4:P4)*Premissas!$B$6/12</f>
        <v/>
      </c>
      <c r="Q24" s="29">
        <f>SUM(F4:Q4)*Premissas!$B$6/12</f>
        <v/>
      </c>
      <c r="R24" s="29">
        <f>SUM(G4:R4)*Premissas!$B$6/12</f>
        <v/>
      </c>
      <c r="S24" s="29">
        <f>SUM(H4:S4)*Premissas!$B$6/12</f>
        <v/>
      </c>
    </row>
    <row r="25">
      <c r="A25" t="inlineStr">
        <is>
          <t>Comissão do vendedor</t>
        </is>
      </c>
      <c r="B25" s="29">
        <f>IF(B2&gt;=Premissas!$D$14,B4*Premissas!$B$10*(1+Premissas!$B$11),0)</f>
        <v/>
      </c>
      <c r="C25" s="29">
        <f>IF(C2&gt;=Premissas!$D$14,C4*Premissas!$B$10*(1+Premissas!$B$11),0)</f>
        <v/>
      </c>
      <c r="D25" s="29">
        <f>IF(D2&gt;=Premissas!$D$14,D4*Premissas!$B$10*(1+Premissas!$B$11),0)</f>
        <v/>
      </c>
      <c r="E25" s="29">
        <f>IF(E2&gt;=Premissas!$D$14,E4*Premissas!$B$10*(1+Premissas!$B$11),0)</f>
        <v/>
      </c>
      <c r="F25" s="29">
        <f>IF(F2&gt;=Premissas!$D$14,F4*Premissas!$B$10*(1+Premissas!$B$11),0)</f>
        <v/>
      </c>
      <c r="G25" s="29">
        <f>IF(G2&gt;=Premissas!$D$14,G4*Premissas!$B$10*(1+Premissas!$B$11),0)</f>
        <v/>
      </c>
      <c r="H25" s="29">
        <f>IF(H2&gt;=Premissas!$D$14,H4*Premissas!$B$10*(1+Premissas!$B$11),0)</f>
        <v/>
      </c>
      <c r="I25" s="29">
        <f>IF(I2&gt;=Premissas!$D$14,I4*Premissas!$B$10*(1+Premissas!$B$11),0)</f>
        <v/>
      </c>
      <c r="J25" s="29">
        <f>IF(J2&gt;=Premissas!$D$14,J4*Premissas!$B$10*(1+Premissas!$B$11),0)</f>
        <v/>
      </c>
      <c r="K25" s="29">
        <f>IF(K2&gt;=Premissas!$D$14,K4*Premissas!$B$10*(1+Premissas!$B$11),0)</f>
        <v/>
      </c>
      <c r="L25" s="29">
        <f>IF(L2&gt;=Premissas!$D$14,L4*Premissas!$B$10*(1+Premissas!$B$11),0)</f>
        <v/>
      </c>
      <c r="M25" s="29">
        <f>IF(M2&gt;=Premissas!$D$14,M4*Premissas!$B$10*(1+Premissas!$B$11),0)</f>
        <v/>
      </c>
      <c r="N25" s="29">
        <f>IF(N2&gt;=Premissas!$D$14,N4*Premissas!$B$10*(1+Premissas!$B$11),0)</f>
        <v/>
      </c>
      <c r="O25" s="29">
        <f>IF(O2&gt;=Premissas!$D$14,O4*Premissas!$B$10*(1+Premissas!$B$11),0)</f>
        <v/>
      </c>
      <c r="P25" s="29">
        <f>IF(P2&gt;=Premissas!$D$14,P4*Premissas!$B$10*(1+Premissas!$B$11),0)</f>
        <v/>
      </c>
      <c r="Q25" s="29">
        <f>IF(Q2&gt;=Premissas!$D$14,Q4*Premissas!$B$10*(1+Premissas!$B$11),0)</f>
        <v/>
      </c>
      <c r="R25" s="29">
        <f>IF(R2&gt;=Premissas!$D$14,R4*Premissas!$B$10*(1+Premissas!$B$11),0)</f>
        <v/>
      </c>
      <c r="S25" s="29">
        <f>IF(S2&gt;=Premissas!$D$14,S4*Premissas!$B$10*(1+Premissas!$B$11),0)</f>
        <v/>
      </c>
    </row>
    <row r="26">
      <c r="A26" t="inlineStr">
        <is>
          <t>Aquisição de alunos (custo dos canais)</t>
        </is>
      </c>
      <c r="B26" s="29">
        <f>'Canais de aquisição'!C$10</f>
        <v/>
      </c>
      <c r="C26" s="29">
        <f>'Canais de aquisição'!D$10</f>
        <v/>
      </c>
      <c r="D26" s="29">
        <f>'Canais de aquisição'!E$10</f>
        <v/>
      </c>
      <c r="E26" s="29">
        <f>'Canais de aquisição'!F$10</f>
        <v/>
      </c>
      <c r="F26" s="29">
        <f>'Canais de aquisição'!G$10</f>
        <v/>
      </c>
      <c r="G26" s="29">
        <f>'Canais de aquisição'!H$10</f>
        <v/>
      </c>
      <c r="H26" s="29">
        <f>'Canais de aquisição'!I$10</f>
        <v/>
      </c>
      <c r="I26" s="29">
        <f>'Canais de aquisição'!J$10</f>
        <v/>
      </c>
      <c r="J26" s="29">
        <f>'Canais de aquisição'!K$10</f>
        <v/>
      </c>
      <c r="K26" s="29">
        <f>'Canais de aquisição'!L$10</f>
        <v/>
      </c>
      <c r="L26" s="29">
        <f>'Canais de aquisição'!M$10</f>
        <v/>
      </c>
      <c r="M26" s="29">
        <f>'Canais de aquisição'!N$10</f>
        <v/>
      </c>
      <c r="N26" s="29">
        <f>'Canais de aquisição'!O$10</f>
        <v/>
      </c>
      <c r="O26" s="29">
        <f>'Canais de aquisição'!P$10</f>
        <v/>
      </c>
      <c r="P26" s="29">
        <f>'Canais de aquisição'!Q$10</f>
        <v/>
      </c>
      <c r="Q26" s="29">
        <f>'Canais de aquisição'!R$10</f>
        <v/>
      </c>
      <c r="R26" s="29">
        <f>'Canais de aquisição'!S$10</f>
        <v/>
      </c>
      <c r="S26" s="29">
        <f>'Canais de aquisição'!T$10</f>
        <v/>
      </c>
    </row>
    <row r="27">
      <c r="A27" t="inlineStr">
        <is>
          <t>Folha + encargos mensais (só quem já entrou)</t>
        </is>
      </c>
      <c r="B27" s="29">
        <f>SUMPRODUCT((Premissas!$D$14:$D$20&lt;=B2)*Premissas!$B$14:$B$20*(1+Premissas!$C$14:$C$20*Premissas!$B$11))</f>
        <v/>
      </c>
      <c r="C27" s="29">
        <f>SUMPRODUCT((Premissas!$D$14:$D$20&lt;=C2)*Premissas!$B$14:$B$20*(1+Premissas!$C$14:$C$20*Premissas!$B$11))</f>
        <v/>
      </c>
      <c r="D27" s="29">
        <f>SUMPRODUCT((Premissas!$D$14:$D$20&lt;=D2)*Premissas!$B$14:$B$20*(1+Premissas!$C$14:$C$20*Premissas!$B$11))</f>
        <v/>
      </c>
      <c r="E27" s="29">
        <f>SUMPRODUCT((Premissas!$D$14:$D$20&lt;=E2)*Premissas!$B$14:$B$20*(1+Premissas!$C$14:$C$20*Premissas!$B$11))</f>
        <v/>
      </c>
      <c r="F27" s="29">
        <f>SUMPRODUCT((Premissas!$D$14:$D$20&lt;=F2)*Premissas!$B$14:$B$20*(1+Premissas!$C$14:$C$20*Premissas!$B$11))</f>
        <v/>
      </c>
      <c r="G27" s="29">
        <f>SUMPRODUCT((Premissas!$D$14:$D$20&lt;=G2)*Premissas!$B$14:$B$20*(1+Premissas!$C$14:$C$20*Premissas!$B$11))</f>
        <v/>
      </c>
      <c r="H27" s="29">
        <f>SUMPRODUCT((Premissas!$D$14:$D$20&lt;=H2)*Premissas!$B$14:$B$20*(1+Premissas!$C$14:$C$20*Premissas!$B$11))</f>
        <v/>
      </c>
      <c r="I27" s="29">
        <f>SUMPRODUCT((Premissas!$D$14:$D$20&lt;=I2)*Premissas!$B$14:$B$20*(1+Premissas!$C$14:$C$20*Premissas!$B$11))</f>
        <v/>
      </c>
      <c r="J27" s="29">
        <f>SUMPRODUCT((Premissas!$D$14:$D$20&lt;=J2)*Premissas!$B$14:$B$20*(1+Premissas!$C$14:$C$20*Premissas!$B$11))</f>
        <v/>
      </c>
      <c r="K27" s="29">
        <f>SUMPRODUCT((Premissas!$D$14:$D$20&lt;=K2)*Premissas!$B$14:$B$20*(1+Premissas!$C$14:$C$20*Premissas!$B$11))</f>
        <v/>
      </c>
      <c r="L27" s="29">
        <f>SUMPRODUCT((Premissas!$D$14:$D$20&lt;=L2)*Premissas!$B$14:$B$20*(1+Premissas!$C$14:$C$20*Premissas!$B$11))</f>
        <v/>
      </c>
      <c r="M27" s="29">
        <f>SUMPRODUCT((Premissas!$D$14:$D$20&lt;=M2)*Premissas!$B$14:$B$20*(1+Premissas!$C$14:$C$20*Premissas!$B$11))</f>
        <v/>
      </c>
      <c r="N27" s="29">
        <f>SUMPRODUCT((Premissas!$D$14:$D$20&lt;=N2)*Premissas!$B$14:$B$20*(1+Premissas!$C$14:$C$20*Premissas!$B$11))</f>
        <v/>
      </c>
      <c r="O27" s="29">
        <f>SUMPRODUCT((Premissas!$D$14:$D$20&lt;=O2)*Premissas!$B$14:$B$20*(1+Premissas!$C$14:$C$20*Premissas!$B$11))</f>
        <v/>
      </c>
      <c r="P27" s="29">
        <f>SUMPRODUCT((Premissas!$D$14:$D$20&lt;=P2)*Premissas!$B$14:$B$20*(1+Premissas!$C$14:$C$20*Premissas!$B$11))</f>
        <v/>
      </c>
      <c r="Q27" s="29">
        <f>SUMPRODUCT((Premissas!$D$14:$D$20&lt;=Q2)*Premissas!$B$14:$B$20*(1+Premissas!$C$14:$C$20*Premissas!$B$11))</f>
        <v/>
      </c>
      <c r="R27" s="29">
        <f>SUMPRODUCT((Premissas!$D$14:$D$20&lt;=R2)*Premissas!$B$14:$B$20*(1+Premissas!$C$14:$C$20*Premissas!$B$11))</f>
        <v/>
      </c>
      <c r="S27" s="29">
        <f>SUMPRODUCT((Premissas!$D$14:$D$20&lt;=S2)*Premissas!$B$14:$B$20*(1+Premissas!$C$14:$C$20*Premissas!$B$11))</f>
        <v/>
      </c>
    </row>
    <row r="28">
      <c r="A28" t="inlineStr">
        <is>
          <t>Vale-transporte / benefícios</t>
        </is>
      </c>
      <c r="B28" s="29">
        <f>SUMPRODUCT((Premissas!$D$14:$D$20&lt;=B2)*Premissas!$C$14:$C$20*(Premissas!$B$14:$B$20&gt;0))*Premissas!$B$12</f>
        <v/>
      </c>
      <c r="C28" s="29">
        <f>SUMPRODUCT((Premissas!$D$14:$D$20&lt;=C2)*Premissas!$C$14:$C$20*(Premissas!$B$14:$B$20&gt;0))*Premissas!$B$12</f>
        <v/>
      </c>
      <c r="D28" s="29">
        <f>SUMPRODUCT((Premissas!$D$14:$D$20&lt;=D2)*Premissas!$C$14:$C$20*(Premissas!$B$14:$B$20&gt;0))*Premissas!$B$12</f>
        <v/>
      </c>
      <c r="E28" s="29">
        <f>SUMPRODUCT((Premissas!$D$14:$D$20&lt;=E2)*Premissas!$C$14:$C$20*(Premissas!$B$14:$B$20&gt;0))*Premissas!$B$12</f>
        <v/>
      </c>
      <c r="F28" s="29">
        <f>SUMPRODUCT((Premissas!$D$14:$D$20&lt;=F2)*Premissas!$C$14:$C$20*(Premissas!$B$14:$B$20&gt;0))*Premissas!$B$12</f>
        <v/>
      </c>
      <c r="G28" s="29">
        <f>SUMPRODUCT((Premissas!$D$14:$D$20&lt;=G2)*Premissas!$C$14:$C$20*(Premissas!$B$14:$B$20&gt;0))*Premissas!$B$12</f>
        <v/>
      </c>
      <c r="H28" s="29">
        <f>SUMPRODUCT((Premissas!$D$14:$D$20&lt;=H2)*Premissas!$C$14:$C$20*(Premissas!$B$14:$B$20&gt;0))*Premissas!$B$12</f>
        <v/>
      </c>
      <c r="I28" s="29">
        <f>SUMPRODUCT((Premissas!$D$14:$D$20&lt;=I2)*Premissas!$C$14:$C$20*(Premissas!$B$14:$B$20&gt;0))*Premissas!$B$12</f>
        <v/>
      </c>
      <c r="J28" s="29">
        <f>SUMPRODUCT((Premissas!$D$14:$D$20&lt;=J2)*Premissas!$C$14:$C$20*(Premissas!$B$14:$B$20&gt;0))*Premissas!$B$12</f>
        <v/>
      </c>
      <c r="K28" s="29">
        <f>SUMPRODUCT((Premissas!$D$14:$D$20&lt;=K2)*Premissas!$C$14:$C$20*(Premissas!$B$14:$B$20&gt;0))*Premissas!$B$12</f>
        <v/>
      </c>
      <c r="L28" s="29">
        <f>SUMPRODUCT((Premissas!$D$14:$D$20&lt;=L2)*Premissas!$C$14:$C$20*(Premissas!$B$14:$B$20&gt;0))*Premissas!$B$12</f>
        <v/>
      </c>
      <c r="M28" s="29">
        <f>SUMPRODUCT((Premissas!$D$14:$D$20&lt;=M2)*Premissas!$C$14:$C$20*(Premissas!$B$14:$B$20&gt;0))*Premissas!$B$12</f>
        <v/>
      </c>
      <c r="N28" s="29">
        <f>SUMPRODUCT((Premissas!$D$14:$D$20&lt;=N2)*Premissas!$C$14:$C$20*(Premissas!$B$14:$B$20&gt;0))*Premissas!$B$12</f>
        <v/>
      </c>
      <c r="O28" s="29">
        <f>SUMPRODUCT((Premissas!$D$14:$D$20&lt;=O2)*Premissas!$C$14:$C$20*(Premissas!$B$14:$B$20&gt;0))*Premissas!$B$12</f>
        <v/>
      </c>
      <c r="P28" s="29">
        <f>SUMPRODUCT((Premissas!$D$14:$D$20&lt;=P2)*Premissas!$C$14:$C$20*(Premissas!$B$14:$B$20&gt;0))*Premissas!$B$12</f>
        <v/>
      </c>
      <c r="Q28" s="29">
        <f>SUMPRODUCT((Premissas!$D$14:$D$20&lt;=Q2)*Premissas!$C$14:$C$20*(Premissas!$B$14:$B$20&gt;0))*Premissas!$B$12</f>
        <v/>
      </c>
      <c r="R28" s="29">
        <f>SUMPRODUCT((Premissas!$D$14:$D$20&lt;=R2)*Premissas!$C$14:$C$20*(Premissas!$B$14:$B$20&gt;0))*Premissas!$B$12</f>
        <v/>
      </c>
      <c r="S28" s="29">
        <f>SUMPRODUCT((Premissas!$D$14:$D$20&lt;=S2)*Premissas!$C$14:$C$20*(Premissas!$B$14:$B$20&gt;0))*Premissas!$B$12</f>
        <v/>
      </c>
    </row>
    <row r="29">
      <c r="A29" t="inlineStr">
        <is>
          <t>13º e férias (desembolso)</t>
        </is>
      </c>
      <c r="B29" s="29" t="n">
        <v>0</v>
      </c>
      <c r="C29" s="29" t="n">
        <v>0</v>
      </c>
      <c r="D29" s="29">
        <f>Premissas!$B$41*SUMPRODUCT((Premissas!$D$14:$D$20&lt;=2)*Premissas!$C$14:$C$20*Premissas!$B$14:$B$20*(2-((Premissas!$D$14:$D$20&gt;0)*Premissas!$D$14:$D$20+(Premissas!$D$14:$D$20&lt;=0)*0)+1)/12)+0</f>
        <v/>
      </c>
      <c r="E29" s="29" t="n">
        <v>0</v>
      </c>
      <c r="F29" s="29" t="n">
        <v>0</v>
      </c>
      <c r="G29" s="29" t="n">
        <v>0</v>
      </c>
      <c r="H29" s="29" t="n">
        <v>0</v>
      </c>
      <c r="I29" s="29" t="n">
        <v>0</v>
      </c>
      <c r="J29" s="29" t="n">
        <v>0</v>
      </c>
      <c r="K29" s="29" t="n">
        <v>0</v>
      </c>
      <c r="L29" s="29" t="n">
        <v>0</v>
      </c>
      <c r="M29" s="29" t="n">
        <v>0</v>
      </c>
      <c r="N29" s="29">
        <f>0+Premissas!$B$42*SUMPRODUCT((Premissas!$D$14:$D$20=0)*Premissas!$C$14:$C$20*Premissas!$B$14:$B$20)*4/3</f>
        <v/>
      </c>
      <c r="O29" s="29">
        <f>0+Premissas!$B$42*SUMPRODUCT((Premissas!$D$14:$D$20=1)*Premissas!$C$14:$C$20*Premissas!$B$14:$B$20)*4/3</f>
        <v/>
      </c>
      <c r="P29" s="29">
        <f>Premissas!$B$41*SUMPRODUCT((Premissas!$D$14:$D$20&lt;=14)*Premissas!$C$14:$C$20*Premissas!$B$14:$B$20*(14-((Premissas!$D$14:$D$20&gt;3)*Premissas!$D$14:$D$20+(Premissas!$D$14:$D$20&lt;=3)*3)+1)/12)+Premissas!$B$42*SUMPRODUCT((Premissas!$D$14:$D$20=2)*Premissas!$C$14:$C$20*Premissas!$B$14:$B$20)*4/3</f>
        <v/>
      </c>
      <c r="Q29" s="29">
        <f>0+Premissas!$B$42*SUMPRODUCT((Premissas!$D$14:$D$20=3)*Premissas!$C$14:$C$20*Premissas!$B$14:$B$20)*4/3</f>
        <v/>
      </c>
      <c r="R29" s="29">
        <f>0+Premissas!$B$42*SUMPRODUCT((Premissas!$D$14:$D$20=4)*Premissas!$C$14:$C$20*Premissas!$B$14:$B$20)*4/3</f>
        <v/>
      </c>
      <c r="S29" s="29">
        <f>0+Premissas!$B$42*SUMPRODUCT((Premissas!$D$14:$D$20=5)*Premissas!$C$14:$C$20*Premissas!$B$14:$B$20)*4/3</f>
        <v/>
      </c>
    </row>
    <row r="30">
      <c r="A30" t="inlineStr">
        <is>
          <t>Professores (salário + encargos)</t>
        </is>
      </c>
      <c r="B30" s="29" t="n">
        <v>0</v>
      </c>
      <c r="C30" s="29" t="n">
        <v>0</v>
      </c>
      <c r="D30" s="29">
        <f>D8*Premissas!$B$35</f>
        <v/>
      </c>
      <c r="E30" s="29">
        <f>E8*Premissas!$B$35</f>
        <v/>
      </c>
      <c r="F30" s="29">
        <f>F8*Premissas!$B$35</f>
        <v/>
      </c>
      <c r="G30" s="29">
        <f>G8*Premissas!$B$35</f>
        <v/>
      </c>
      <c r="H30" s="29">
        <f>H8*Premissas!$B$35</f>
        <v/>
      </c>
      <c r="I30" s="29">
        <f>I8*Premissas!$B$35</f>
        <v/>
      </c>
      <c r="J30" s="29">
        <f>J8*Premissas!$B$35</f>
        <v/>
      </c>
      <c r="K30" s="29">
        <f>K8*Premissas!$B$35</f>
        <v/>
      </c>
      <c r="L30" s="29">
        <f>L8*Premissas!$B$35</f>
        <v/>
      </c>
      <c r="M30" s="29">
        <f>M8*Premissas!$B$35</f>
        <v/>
      </c>
      <c r="N30" s="29">
        <f>N8*Premissas!$B$35</f>
        <v/>
      </c>
      <c r="O30" s="29">
        <f>O8*Premissas!$B$35</f>
        <v/>
      </c>
      <c r="P30" s="29">
        <f>P8*Premissas!$B$35</f>
        <v/>
      </c>
      <c r="Q30" s="29">
        <f>Q8*Premissas!$B$35</f>
        <v/>
      </c>
      <c r="R30" s="29">
        <f>R8*Premissas!$B$35</f>
        <v/>
      </c>
      <c r="S30" s="29">
        <f>S8*Premissas!$B$35</f>
        <v/>
      </c>
    </row>
    <row r="31">
      <c r="A31" t="inlineStr">
        <is>
          <t>Aluguel do espaço</t>
        </is>
      </c>
      <c r="B31" s="29">
        <f>'Custos mês a mês'!B2</f>
        <v/>
      </c>
      <c r="C31" s="29">
        <f>'Custos mês a mês'!C2</f>
        <v/>
      </c>
      <c r="D31" s="29">
        <f>'Custos mês a mês'!D2</f>
        <v/>
      </c>
      <c r="E31" s="29">
        <f>'Custos mês a mês'!E2</f>
        <v/>
      </c>
      <c r="F31" s="29">
        <f>'Custos mês a mês'!F2</f>
        <v/>
      </c>
      <c r="G31" s="29">
        <f>'Custos mês a mês'!G2</f>
        <v/>
      </c>
      <c r="H31" s="29">
        <f>'Custos mês a mês'!H2</f>
        <v/>
      </c>
      <c r="I31" s="29">
        <f>'Custos mês a mês'!I2</f>
        <v/>
      </c>
      <c r="J31" s="29">
        <f>'Custos mês a mês'!J2</f>
        <v/>
      </c>
      <c r="K31" s="29">
        <f>'Custos mês a mês'!K2</f>
        <v/>
      </c>
      <c r="L31" s="29">
        <f>'Custos mês a mês'!L2</f>
        <v/>
      </c>
      <c r="M31" s="29">
        <f>'Custos mês a mês'!M2</f>
        <v/>
      </c>
      <c r="N31" s="29">
        <f>'Custos mês a mês'!N2</f>
        <v/>
      </c>
      <c r="O31" s="29">
        <f>'Custos mês a mês'!O2</f>
        <v/>
      </c>
      <c r="P31" s="29">
        <f>'Custos mês a mês'!P2</f>
        <v/>
      </c>
      <c r="Q31" s="29">
        <f>'Custos mês a mês'!Q2</f>
        <v/>
      </c>
      <c r="R31" s="29">
        <f>'Custos mês a mês'!R2</f>
        <v/>
      </c>
      <c r="S31" s="29">
        <f>'Custos mês a mês'!S2</f>
        <v/>
      </c>
    </row>
    <row r="32">
      <c r="A32" t="inlineStr">
        <is>
          <t>Água</t>
        </is>
      </c>
      <c r="B32" s="29">
        <f>'Custos mês a mês'!B3</f>
        <v/>
      </c>
      <c r="C32" s="29">
        <f>'Custos mês a mês'!C3</f>
        <v/>
      </c>
      <c r="D32" s="29">
        <f>'Custos mês a mês'!D3</f>
        <v/>
      </c>
      <c r="E32" s="29">
        <f>'Custos mês a mês'!E3</f>
        <v/>
      </c>
      <c r="F32" s="29">
        <f>'Custos mês a mês'!F3</f>
        <v/>
      </c>
      <c r="G32" s="29">
        <f>'Custos mês a mês'!G3</f>
        <v/>
      </c>
      <c r="H32" s="29">
        <f>'Custos mês a mês'!H3</f>
        <v/>
      </c>
      <c r="I32" s="29">
        <f>'Custos mês a mês'!I3</f>
        <v/>
      </c>
      <c r="J32" s="29">
        <f>'Custos mês a mês'!J3</f>
        <v/>
      </c>
      <c r="K32" s="29">
        <f>'Custos mês a mês'!K3</f>
        <v/>
      </c>
      <c r="L32" s="29">
        <f>'Custos mês a mês'!L3</f>
        <v/>
      </c>
      <c r="M32" s="29">
        <f>'Custos mês a mês'!M3</f>
        <v/>
      </c>
      <c r="N32" s="29">
        <f>'Custos mês a mês'!N3</f>
        <v/>
      </c>
      <c r="O32" s="29">
        <f>'Custos mês a mês'!O3</f>
        <v/>
      </c>
      <c r="P32" s="29">
        <f>'Custos mês a mês'!P3</f>
        <v/>
      </c>
      <c r="Q32" s="29">
        <f>'Custos mês a mês'!Q3</f>
        <v/>
      </c>
      <c r="R32" s="29">
        <f>'Custos mês a mês'!R3</f>
        <v/>
      </c>
      <c r="S32" s="29">
        <f>'Custos mês a mês'!S3</f>
        <v/>
      </c>
    </row>
    <row r="33">
      <c r="A33" t="inlineStr">
        <is>
          <t>Luz</t>
        </is>
      </c>
      <c r="B33" s="29">
        <f>'Custos mês a mês'!B4</f>
        <v/>
      </c>
      <c r="C33" s="29">
        <f>'Custos mês a mês'!C4</f>
        <v/>
      </c>
      <c r="D33" s="29">
        <f>'Custos mês a mês'!D4</f>
        <v/>
      </c>
      <c r="E33" s="29">
        <f>'Custos mês a mês'!E4</f>
        <v/>
      </c>
      <c r="F33" s="29">
        <f>'Custos mês a mês'!F4</f>
        <v/>
      </c>
      <c r="G33" s="29">
        <f>'Custos mês a mês'!G4</f>
        <v/>
      </c>
      <c r="H33" s="29">
        <f>'Custos mês a mês'!H4</f>
        <v/>
      </c>
      <c r="I33" s="29">
        <f>'Custos mês a mês'!I4</f>
        <v/>
      </c>
      <c r="J33" s="29">
        <f>'Custos mês a mês'!J4</f>
        <v/>
      </c>
      <c r="K33" s="29">
        <f>'Custos mês a mês'!K4</f>
        <v/>
      </c>
      <c r="L33" s="29">
        <f>'Custos mês a mês'!L4</f>
        <v/>
      </c>
      <c r="M33" s="29">
        <f>'Custos mês a mês'!M4</f>
        <v/>
      </c>
      <c r="N33" s="29">
        <f>'Custos mês a mês'!N4</f>
        <v/>
      </c>
      <c r="O33" s="29">
        <f>'Custos mês a mês'!O4</f>
        <v/>
      </c>
      <c r="P33" s="29">
        <f>'Custos mês a mês'!P4</f>
        <v/>
      </c>
      <c r="Q33" s="29">
        <f>'Custos mês a mês'!Q4</f>
        <v/>
      </c>
      <c r="R33" s="29">
        <f>'Custos mês a mês'!R4</f>
        <v/>
      </c>
      <c r="S33" s="29">
        <f>'Custos mês a mês'!S4</f>
        <v/>
      </c>
    </row>
    <row r="34">
      <c r="A34" t="inlineStr">
        <is>
          <t>Telefone</t>
        </is>
      </c>
      <c r="B34" s="29">
        <f>'Custos mês a mês'!B5</f>
        <v/>
      </c>
      <c r="C34" s="29">
        <f>'Custos mês a mês'!C5</f>
        <v/>
      </c>
      <c r="D34" s="29">
        <f>'Custos mês a mês'!D5</f>
        <v/>
      </c>
      <c r="E34" s="29">
        <f>'Custos mês a mês'!E5</f>
        <v/>
      </c>
      <c r="F34" s="29">
        <f>'Custos mês a mês'!F5</f>
        <v/>
      </c>
      <c r="G34" s="29">
        <f>'Custos mês a mês'!G5</f>
        <v/>
      </c>
      <c r="H34" s="29">
        <f>'Custos mês a mês'!H5</f>
        <v/>
      </c>
      <c r="I34" s="29">
        <f>'Custos mês a mês'!I5</f>
        <v/>
      </c>
      <c r="J34" s="29">
        <f>'Custos mês a mês'!J5</f>
        <v/>
      </c>
      <c r="K34" s="29">
        <f>'Custos mês a mês'!K5</f>
        <v/>
      </c>
      <c r="L34" s="29">
        <f>'Custos mês a mês'!L5</f>
        <v/>
      </c>
      <c r="M34" s="29">
        <f>'Custos mês a mês'!M5</f>
        <v/>
      </c>
      <c r="N34" s="29">
        <f>'Custos mês a mês'!N5</f>
        <v/>
      </c>
      <c r="O34" s="29">
        <f>'Custos mês a mês'!O5</f>
        <v/>
      </c>
      <c r="P34" s="29">
        <f>'Custos mês a mês'!P5</f>
        <v/>
      </c>
      <c r="Q34" s="29">
        <f>'Custos mês a mês'!Q5</f>
        <v/>
      </c>
      <c r="R34" s="29">
        <f>'Custos mês a mês'!R5</f>
        <v/>
      </c>
      <c r="S34" s="29">
        <f>'Custos mês a mês'!S5</f>
        <v/>
      </c>
    </row>
    <row r="35">
      <c r="A35" t="inlineStr">
        <is>
          <t>Internet</t>
        </is>
      </c>
      <c r="B35" s="29">
        <f>'Custos mês a mês'!B6</f>
        <v/>
      </c>
      <c r="C35" s="29">
        <f>'Custos mês a mês'!C6</f>
        <v/>
      </c>
      <c r="D35" s="29">
        <f>'Custos mês a mês'!D6</f>
        <v/>
      </c>
      <c r="E35" s="29">
        <f>'Custos mês a mês'!E6</f>
        <v/>
      </c>
      <c r="F35" s="29">
        <f>'Custos mês a mês'!F6</f>
        <v/>
      </c>
      <c r="G35" s="29">
        <f>'Custos mês a mês'!G6</f>
        <v/>
      </c>
      <c r="H35" s="29">
        <f>'Custos mês a mês'!H6</f>
        <v/>
      </c>
      <c r="I35" s="29">
        <f>'Custos mês a mês'!I6</f>
        <v/>
      </c>
      <c r="J35" s="29">
        <f>'Custos mês a mês'!J6</f>
        <v/>
      </c>
      <c r="K35" s="29">
        <f>'Custos mês a mês'!K6</f>
        <v/>
      </c>
      <c r="L35" s="29">
        <f>'Custos mês a mês'!L6</f>
        <v/>
      </c>
      <c r="M35" s="29">
        <f>'Custos mês a mês'!M6</f>
        <v/>
      </c>
      <c r="N35" s="29">
        <f>'Custos mês a mês'!N6</f>
        <v/>
      </c>
      <c r="O35" s="29">
        <f>'Custos mês a mês'!O6</f>
        <v/>
      </c>
      <c r="P35" s="29">
        <f>'Custos mês a mês'!P6</f>
        <v/>
      </c>
      <c r="Q35" s="29">
        <f>'Custos mês a mês'!Q6</f>
        <v/>
      </c>
      <c r="R35" s="29">
        <f>'Custos mês a mês'!R6</f>
        <v/>
      </c>
      <c r="S35" s="29">
        <f>'Custos mês a mês'!S6</f>
        <v/>
      </c>
    </row>
    <row r="36">
      <c r="A36" t="inlineStr">
        <is>
          <t>Sistema de gestão DiscoverON</t>
        </is>
      </c>
      <c r="B36" s="29">
        <f>'Custos mês a mês'!B7</f>
        <v/>
      </c>
      <c r="C36" s="29">
        <f>'Custos mês a mês'!C7</f>
        <v/>
      </c>
      <c r="D36" s="29">
        <f>'Custos mês a mês'!D7</f>
        <v/>
      </c>
      <c r="E36" s="29">
        <f>'Custos mês a mês'!E7</f>
        <v/>
      </c>
      <c r="F36" s="29">
        <f>'Custos mês a mês'!F7</f>
        <v/>
      </c>
      <c r="G36" s="29">
        <f>'Custos mês a mês'!G7</f>
        <v/>
      </c>
      <c r="H36" s="29">
        <f>'Custos mês a mês'!H7</f>
        <v/>
      </c>
      <c r="I36" s="29">
        <f>'Custos mês a mês'!I7</f>
        <v/>
      </c>
      <c r="J36" s="29">
        <f>'Custos mês a mês'!J7</f>
        <v/>
      </c>
      <c r="K36" s="29">
        <f>'Custos mês a mês'!K7</f>
        <v/>
      </c>
      <c r="L36" s="29">
        <f>'Custos mês a mês'!L7</f>
        <v/>
      </c>
      <c r="M36" s="29">
        <f>'Custos mês a mês'!M7</f>
        <v/>
      </c>
      <c r="N36" s="29">
        <f>'Custos mês a mês'!N7</f>
        <v/>
      </c>
      <c r="O36" s="29">
        <f>'Custos mês a mês'!O7</f>
        <v/>
      </c>
      <c r="P36" s="29">
        <f>'Custos mês a mês'!P7</f>
        <v/>
      </c>
      <c r="Q36" s="29">
        <f>'Custos mês a mês'!Q7</f>
        <v/>
      </c>
      <c r="R36" s="29">
        <f>'Custos mês a mês'!R7</f>
        <v/>
      </c>
      <c r="S36" s="29">
        <f>'Custos mês a mês'!S7</f>
        <v/>
      </c>
    </row>
    <row r="37">
      <c r="A37" t="inlineStr">
        <is>
          <t>Itens para aula</t>
        </is>
      </c>
      <c r="B37" s="29">
        <f>'Custos mês a mês'!B8</f>
        <v/>
      </c>
      <c r="C37" s="29">
        <f>'Custos mês a mês'!C8</f>
        <v/>
      </c>
      <c r="D37" s="29">
        <f>'Custos mês a mês'!D8</f>
        <v/>
      </c>
      <c r="E37" s="29">
        <f>'Custos mês a mês'!E8</f>
        <v/>
      </c>
      <c r="F37" s="29">
        <f>'Custos mês a mês'!F8</f>
        <v/>
      </c>
      <c r="G37" s="29">
        <f>'Custos mês a mês'!G8</f>
        <v/>
      </c>
      <c r="H37" s="29">
        <f>'Custos mês a mês'!H8</f>
        <v/>
      </c>
      <c r="I37" s="29">
        <f>'Custos mês a mês'!I8</f>
        <v/>
      </c>
      <c r="J37" s="29">
        <f>'Custos mês a mês'!J8</f>
        <v/>
      </c>
      <c r="K37" s="29">
        <f>'Custos mês a mês'!K8</f>
        <v/>
      </c>
      <c r="L37" s="29">
        <f>'Custos mês a mês'!L8</f>
        <v/>
      </c>
      <c r="M37" s="29">
        <f>'Custos mês a mês'!M8</f>
        <v/>
      </c>
      <c r="N37" s="29">
        <f>'Custos mês a mês'!N8</f>
        <v/>
      </c>
      <c r="O37" s="29">
        <f>'Custos mês a mês'!O8</f>
        <v/>
      </c>
      <c r="P37" s="29">
        <f>'Custos mês a mês'!P8</f>
        <v/>
      </c>
      <c r="Q37" s="29">
        <f>'Custos mês a mês'!Q8</f>
        <v/>
      </c>
      <c r="R37" s="29">
        <f>'Custos mês a mês'!R8</f>
        <v/>
      </c>
      <c r="S37" s="29">
        <f>'Custos mês a mês'!S8</f>
        <v/>
      </c>
    </row>
    <row r="38">
      <c r="A38" t="inlineStr">
        <is>
          <t>Materiais de limpeza + higiene</t>
        </is>
      </c>
      <c r="B38" s="29">
        <f>'Custos mês a mês'!B9</f>
        <v/>
      </c>
      <c r="C38" s="29">
        <f>'Custos mês a mês'!C9</f>
        <v/>
      </c>
      <c r="D38" s="29">
        <f>'Custos mês a mês'!D9</f>
        <v/>
      </c>
      <c r="E38" s="29">
        <f>'Custos mês a mês'!E9</f>
        <v/>
      </c>
      <c r="F38" s="29">
        <f>'Custos mês a mês'!F9</f>
        <v/>
      </c>
      <c r="G38" s="29">
        <f>'Custos mês a mês'!G9</f>
        <v/>
      </c>
      <c r="H38" s="29">
        <f>'Custos mês a mês'!H9</f>
        <v/>
      </c>
      <c r="I38" s="29">
        <f>'Custos mês a mês'!I9</f>
        <v/>
      </c>
      <c r="J38" s="29">
        <f>'Custos mês a mês'!J9</f>
        <v/>
      </c>
      <c r="K38" s="29">
        <f>'Custos mês a mês'!K9</f>
        <v/>
      </c>
      <c r="L38" s="29">
        <f>'Custos mês a mês'!L9</f>
        <v/>
      </c>
      <c r="M38" s="29">
        <f>'Custos mês a mês'!M9</f>
        <v/>
      </c>
      <c r="N38" s="29">
        <f>'Custos mês a mês'!N9</f>
        <v/>
      </c>
      <c r="O38" s="29">
        <f>'Custos mês a mês'!O9</f>
        <v/>
      </c>
      <c r="P38" s="29">
        <f>'Custos mês a mês'!P9</f>
        <v/>
      </c>
      <c r="Q38" s="29">
        <f>'Custos mês a mês'!Q9</f>
        <v/>
      </c>
      <c r="R38" s="29">
        <f>'Custos mês a mês'!R9</f>
        <v/>
      </c>
      <c r="S38" s="29">
        <f>'Custos mês a mês'!S9</f>
        <v/>
      </c>
    </row>
    <row r="39">
      <c r="A39" t="inlineStr">
        <is>
          <t>Brindes</t>
        </is>
      </c>
      <c r="B39" s="29">
        <f>'Custos mês a mês'!B10</f>
        <v/>
      </c>
      <c r="C39" s="29">
        <f>'Custos mês a mês'!C10</f>
        <v/>
      </c>
      <c r="D39" s="29">
        <f>'Custos mês a mês'!D10</f>
        <v/>
      </c>
      <c r="E39" s="29">
        <f>'Custos mês a mês'!E10</f>
        <v/>
      </c>
      <c r="F39" s="29">
        <f>'Custos mês a mês'!F10</f>
        <v/>
      </c>
      <c r="G39" s="29">
        <f>'Custos mês a mês'!G10</f>
        <v/>
      </c>
      <c r="H39" s="29">
        <f>'Custos mês a mês'!H10</f>
        <v/>
      </c>
      <c r="I39" s="29">
        <f>'Custos mês a mês'!I10</f>
        <v/>
      </c>
      <c r="J39" s="29">
        <f>'Custos mês a mês'!J10</f>
        <v/>
      </c>
      <c r="K39" s="29">
        <f>'Custos mês a mês'!K10</f>
        <v/>
      </c>
      <c r="L39" s="29">
        <f>'Custos mês a mês'!L10</f>
        <v/>
      </c>
      <c r="M39" s="29">
        <f>'Custos mês a mês'!M10</f>
        <v/>
      </c>
      <c r="N39" s="29">
        <f>'Custos mês a mês'!N10</f>
        <v/>
      </c>
      <c r="O39" s="29">
        <f>'Custos mês a mês'!O10</f>
        <v/>
      </c>
      <c r="P39" s="29">
        <f>'Custos mês a mês'!P10</f>
        <v/>
      </c>
      <c r="Q39" s="29">
        <f>'Custos mês a mês'!Q10</f>
        <v/>
      </c>
      <c r="R39" s="29">
        <f>'Custos mês a mês'!R10</f>
        <v/>
      </c>
      <c r="S39" s="29">
        <f>'Custos mês a mês'!S10</f>
        <v/>
      </c>
    </row>
    <row r="40">
      <c r="A40" t="inlineStr">
        <is>
          <t>Marketing</t>
        </is>
      </c>
      <c r="B40" s="29">
        <f>'Custos mês a mês'!B11</f>
        <v/>
      </c>
      <c r="C40" s="29">
        <f>'Custos mês a mês'!C11</f>
        <v/>
      </c>
      <c r="D40" s="29">
        <f>'Custos mês a mês'!D11</f>
        <v/>
      </c>
      <c r="E40" s="29">
        <f>'Custos mês a mês'!E11</f>
        <v/>
      </c>
      <c r="F40" s="29">
        <f>'Custos mês a mês'!F11</f>
        <v/>
      </c>
      <c r="G40" s="29">
        <f>'Custos mês a mês'!G11</f>
        <v/>
      </c>
      <c r="H40" s="29">
        <f>'Custos mês a mês'!H11</f>
        <v/>
      </c>
      <c r="I40" s="29">
        <f>'Custos mês a mês'!I11</f>
        <v/>
      </c>
      <c r="J40" s="29">
        <f>'Custos mês a mês'!J11</f>
        <v/>
      </c>
      <c r="K40" s="29">
        <f>'Custos mês a mês'!K11</f>
        <v/>
      </c>
      <c r="L40" s="29">
        <f>'Custos mês a mês'!L11</f>
        <v/>
      </c>
      <c r="M40" s="29">
        <f>'Custos mês a mês'!M11</f>
        <v/>
      </c>
      <c r="N40" s="29">
        <f>'Custos mês a mês'!N11</f>
        <v/>
      </c>
      <c r="O40" s="29">
        <f>'Custos mês a mês'!O11</f>
        <v/>
      </c>
      <c r="P40" s="29">
        <f>'Custos mês a mês'!P11</f>
        <v/>
      </c>
      <c r="Q40" s="29">
        <f>'Custos mês a mês'!Q11</f>
        <v/>
      </c>
      <c r="R40" s="29">
        <f>'Custos mês a mês'!R11</f>
        <v/>
      </c>
      <c r="S40" s="29">
        <f>'Custos mês a mês'!S11</f>
        <v/>
      </c>
    </row>
    <row r="41">
      <c r="A41" t="inlineStr">
        <is>
          <t>Aluguel dos computadores</t>
        </is>
      </c>
      <c r="B41" s="29">
        <f>'Custos mês a mês'!B12</f>
        <v/>
      </c>
      <c r="C41" s="29">
        <f>'Custos mês a mês'!C12</f>
        <v/>
      </c>
      <c r="D41" s="29">
        <f>'Custos mês a mês'!D12</f>
        <v/>
      </c>
      <c r="E41" s="29">
        <f>'Custos mês a mês'!E12</f>
        <v/>
      </c>
      <c r="F41" s="29">
        <f>'Custos mês a mês'!F12</f>
        <v/>
      </c>
      <c r="G41" s="29">
        <f>'Custos mês a mês'!G12</f>
        <v/>
      </c>
      <c r="H41" s="29">
        <f>'Custos mês a mês'!H12</f>
        <v/>
      </c>
      <c r="I41" s="29">
        <f>'Custos mês a mês'!I12</f>
        <v/>
      </c>
      <c r="J41" s="29">
        <f>'Custos mês a mês'!J12</f>
        <v/>
      </c>
      <c r="K41" s="29">
        <f>'Custos mês a mês'!K12</f>
        <v/>
      </c>
      <c r="L41" s="29">
        <f>'Custos mês a mês'!L12</f>
        <v/>
      </c>
      <c r="M41" s="29">
        <f>'Custos mês a mês'!M12</f>
        <v/>
      </c>
      <c r="N41" s="29">
        <f>'Custos mês a mês'!N12</f>
        <v/>
      </c>
      <c r="O41" s="29">
        <f>'Custos mês a mês'!O12</f>
        <v/>
      </c>
      <c r="P41" s="29">
        <f>'Custos mês a mês'!P12</f>
        <v/>
      </c>
      <c r="Q41" s="29">
        <f>'Custos mês a mês'!Q12</f>
        <v/>
      </c>
      <c r="R41" s="29">
        <f>'Custos mês a mês'!R12</f>
        <v/>
      </c>
      <c r="S41" s="29">
        <f>'Custos mês a mês'!S12</f>
        <v/>
      </c>
    </row>
    <row r="42">
      <c r="A42" t="inlineStr">
        <is>
          <t>Seguro empresarial</t>
        </is>
      </c>
      <c r="B42" s="29">
        <f>'Custos mês a mês'!B13</f>
        <v/>
      </c>
      <c r="C42" s="29">
        <f>'Custos mês a mês'!C13</f>
        <v/>
      </c>
      <c r="D42" s="29">
        <f>'Custos mês a mês'!D13</f>
        <v/>
      </c>
      <c r="E42" s="29">
        <f>'Custos mês a mês'!E13</f>
        <v/>
      </c>
      <c r="F42" s="29">
        <f>'Custos mês a mês'!F13</f>
        <v/>
      </c>
      <c r="G42" s="29">
        <f>'Custos mês a mês'!G13</f>
        <v/>
      </c>
      <c r="H42" s="29">
        <f>'Custos mês a mês'!H13</f>
        <v/>
      </c>
      <c r="I42" s="29">
        <f>'Custos mês a mês'!I13</f>
        <v/>
      </c>
      <c r="J42" s="29">
        <f>'Custos mês a mês'!J13</f>
        <v/>
      </c>
      <c r="K42" s="29">
        <f>'Custos mês a mês'!K13</f>
        <v/>
      </c>
      <c r="L42" s="29">
        <f>'Custos mês a mês'!L13</f>
        <v/>
      </c>
      <c r="M42" s="29">
        <f>'Custos mês a mês'!M13</f>
        <v/>
      </c>
      <c r="N42" s="29">
        <f>'Custos mês a mês'!N13</f>
        <v/>
      </c>
      <c r="O42" s="29">
        <f>'Custos mês a mês'!O13</f>
        <v/>
      </c>
      <c r="P42" s="29">
        <f>'Custos mês a mês'!P13</f>
        <v/>
      </c>
      <c r="Q42" s="29">
        <f>'Custos mês a mês'!Q13</f>
        <v/>
      </c>
      <c r="R42" s="29">
        <f>'Custos mês a mês'!R13</f>
        <v/>
      </c>
      <c r="S42" s="29">
        <f>'Custos mês a mês'!S13</f>
        <v/>
      </c>
    </row>
    <row r="43">
      <c r="A43" t="inlineStr">
        <is>
          <t>Taxas bancárias + gasolina</t>
        </is>
      </c>
      <c r="B43" s="29">
        <f>'Custos mês a mês'!B14</f>
        <v/>
      </c>
      <c r="C43" s="29">
        <f>'Custos mês a mês'!C14</f>
        <v/>
      </c>
      <c r="D43" s="29">
        <f>'Custos mês a mês'!D14</f>
        <v/>
      </c>
      <c r="E43" s="29">
        <f>'Custos mês a mês'!E14</f>
        <v/>
      </c>
      <c r="F43" s="29">
        <f>'Custos mês a mês'!F14</f>
        <v/>
      </c>
      <c r="G43" s="29">
        <f>'Custos mês a mês'!G14</f>
        <v/>
      </c>
      <c r="H43" s="29">
        <f>'Custos mês a mês'!H14</f>
        <v/>
      </c>
      <c r="I43" s="29">
        <f>'Custos mês a mês'!I14</f>
        <v/>
      </c>
      <c r="J43" s="29">
        <f>'Custos mês a mês'!J14</f>
        <v/>
      </c>
      <c r="K43" s="29">
        <f>'Custos mês a mês'!K14</f>
        <v/>
      </c>
      <c r="L43" s="29">
        <f>'Custos mês a mês'!L14</f>
        <v/>
      </c>
      <c r="M43" s="29">
        <f>'Custos mês a mês'!M14</f>
        <v/>
      </c>
      <c r="N43" s="29">
        <f>'Custos mês a mês'!N14</f>
        <v/>
      </c>
      <c r="O43" s="29">
        <f>'Custos mês a mês'!O14</f>
        <v/>
      </c>
      <c r="P43" s="29">
        <f>'Custos mês a mês'!P14</f>
        <v/>
      </c>
      <c r="Q43" s="29">
        <f>'Custos mês a mês'!Q14</f>
        <v/>
      </c>
      <c r="R43" s="29">
        <f>'Custos mês a mês'!R14</f>
        <v/>
      </c>
      <c r="S43" s="29">
        <f>'Custos mês a mês'!S14</f>
        <v/>
      </c>
    </row>
    <row r="44">
      <c r="A44" t="inlineStr">
        <is>
          <t>Custos operacionais (contab., manut., licenças…)</t>
        </is>
      </c>
      <c r="B44" s="29">
        <f>'Custos mês a mês'!B15</f>
        <v/>
      </c>
      <c r="C44" s="29">
        <f>'Custos mês a mês'!C15</f>
        <v/>
      </c>
      <c r="D44" s="29">
        <f>'Custos mês a mês'!D15</f>
        <v/>
      </c>
      <c r="E44" s="29">
        <f>'Custos mês a mês'!E15</f>
        <v/>
      </c>
      <c r="F44" s="29">
        <f>'Custos mês a mês'!F15</f>
        <v/>
      </c>
      <c r="G44" s="29">
        <f>'Custos mês a mês'!G15</f>
        <v/>
      </c>
      <c r="H44" s="29">
        <f>'Custos mês a mês'!H15</f>
        <v/>
      </c>
      <c r="I44" s="29">
        <f>'Custos mês a mês'!I15</f>
        <v/>
      </c>
      <c r="J44" s="29">
        <f>'Custos mês a mês'!J15</f>
        <v/>
      </c>
      <c r="K44" s="29">
        <f>'Custos mês a mês'!K15</f>
        <v/>
      </c>
      <c r="L44" s="29">
        <f>'Custos mês a mês'!L15</f>
        <v/>
      </c>
      <c r="M44" s="29">
        <f>'Custos mês a mês'!M15</f>
        <v/>
      </c>
      <c r="N44" s="29">
        <f>'Custos mês a mês'!N15</f>
        <v/>
      </c>
      <c r="O44" s="29">
        <f>'Custos mês a mês'!O15</f>
        <v/>
      </c>
      <c r="P44" s="29">
        <f>'Custos mês a mês'!P15</f>
        <v/>
      </c>
      <c r="Q44" s="29">
        <f>'Custos mês a mês'!Q15</f>
        <v/>
      </c>
      <c r="R44" s="29">
        <f>'Custos mês a mês'!R15</f>
        <v/>
      </c>
      <c r="S44" s="29">
        <f>'Custos mês a mês'!S15</f>
        <v/>
      </c>
    </row>
    <row r="45">
      <c r="A45" t="inlineStr">
        <is>
          <t>Pró-labore</t>
        </is>
      </c>
      <c r="B45" s="29">
        <f>'Custos mês a mês'!B16</f>
        <v/>
      </c>
      <c r="C45" s="29">
        <f>'Custos mês a mês'!C16</f>
        <v/>
      </c>
      <c r="D45" s="29">
        <f>'Custos mês a mês'!D16</f>
        <v/>
      </c>
      <c r="E45" s="29">
        <f>'Custos mês a mês'!E16</f>
        <v/>
      </c>
      <c r="F45" s="29">
        <f>'Custos mês a mês'!F16</f>
        <v/>
      </c>
      <c r="G45" s="29">
        <f>'Custos mês a mês'!G16</f>
        <v/>
      </c>
      <c r="H45" s="29">
        <f>'Custos mês a mês'!H16</f>
        <v/>
      </c>
      <c r="I45" s="29">
        <f>'Custos mês a mês'!I16</f>
        <v/>
      </c>
      <c r="J45" s="29">
        <f>'Custos mês a mês'!J16</f>
        <v/>
      </c>
      <c r="K45" s="29">
        <f>'Custos mês a mês'!K16</f>
        <v/>
      </c>
      <c r="L45" s="29">
        <f>'Custos mês a mês'!L16</f>
        <v/>
      </c>
      <c r="M45" s="29">
        <f>'Custos mês a mês'!M16</f>
        <v/>
      </c>
      <c r="N45" s="29">
        <f>'Custos mês a mês'!N16</f>
        <v/>
      </c>
      <c r="O45" s="29">
        <f>'Custos mês a mês'!O16</f>
        <v/>
      </c>
      <c r="P45" s="29">
        <f>'Custos mês a mês'!P16</f>
        <v/>
      </c>
      <c r="Q45" s="29">
        <f>'Custos mês a mês'!Q16</f>
        <v/>
      </c>
      <c r="R45" s="29">
        <f>'Custos mês a mês'!R16</f>
        <v/>
      </c>
      <c r="S45" s="29">
        <f>'Custos mês a mês'!S16</f>
        <v/>
      </c>
    </row>
    <row r="46">
      <c r="A46" s="42" t="inlineStr">
        <is>
          <t>Total de despesas</t>
        </is>
      </c>
      <c r="B46" s="24">
        <f>SUM(B23:B45)</f>
        <v/>
      </c>
      <c r="C46" s="24">
        <f>SUM(C23:C45)</f>
        <v/>
      </c>
      <c r="D46" s="24">
        <f>SUM(D23:D45)</f>
        <v/>
      </c>
      <c r="E46" s="24">
        <f>SUM(E23:E45)</f>
        <v/>
      </c>
      <c r="F46" s="24">
        <f>SUM(F23:F45)</f>
        <v/>
      </c>
      <c r="G46" s="24">
        <f>SUM(G23:G45)</f>
        <v/>
      </c>
      <c r="H46" s="24">
        <f>SUM(H23:H45)</f>
        <v/>
      </c>
      <c r="I46" s="24">
        <f>SUM(I23:I45)</f>
        <v/>
      </c>
      <c r="J46" s="24">
        <f>SUM(J23:J45)</f>
        <v/>
      </c>
      <c r="K46" s="24">
        <f>SUM(K23:K45)</f>
        <v/>
      </c>
      <c r="L46" s="24">
        <f>SUM(L23:L45)</f>
        <v/>
      </c>
      <c r="M46" s="24">
        <f>SUM(M23:M45)</f>
        <v/>
      </c>
      <c r="N46" s="24">
        <f>SUM(N23:N45)</f>
        <v/>
      </c>
      <c r="O46" s="24">
        <f>SUM(O23:O45)</f>
        <v/>
      </c>
      <c r="P46" s="24">
        <f>SUM(P23:P45)</f>
        <v/>
      </c>
      <c r="Q46" s="24">
        <f>SUM(Q23:Q45)</f>
        <v/>
      </c>
      <c r="R46" s="24">
        <f>SUM(R23:R45)</f>
        <v/>
      </c>
      <c r="S46" s="24">
        <f>SUM(S23:S45)</f>
        <v/>
      </c>
    </row>
    <row r="48">
      <c r="A48" s="14" t="inlineStr">
        <is>
          <t>Resultado do mês</t>
        </is>
      </c>
      <c r="B48" s="44">
        <f>B15-B46</f>
        <v/>
      </c>
      <c r="C48" s="44">
        <f>C15-C46</f>
        <v/>
      </c>
      <c r="D48" s="44">
        <f>D15-D46</f>
        <v/>
      </c>
      <c r="E48" s="44">
        <f>E15-E46</f>
        <v/>
      </c>
      <c r="F48" s="44">
        <f>F15-F46</f>
        <v/>
      </c>
      <c r="G48" s="44">
        <f>G15-G46</f>
        <v/>
      </c>
      <c r="H48" s="44">
        <f>H15-H46</f>
        <v/>
      </c>
      <c r="I48" s="44">
        <f>I15-I46</f>
        <v/>
      </c>
      <c r="J48" s="44">
        <f>J15-J46</f>
        <v/>
      </c>
      <c r="K48" s="44">
        <f>K15-K46</f>
        <v/>
      </c>
      <c r="L48" s="44">
        <f>L15-L46</f>
        <v/>
      </c>
      <c r="M48" s="44">
        <f>M15-M46</f>
        <v/>
      </c>
      <c r="N48" s="44">
        <f>N15-N46</f>
        <v/>
      </c>
      <c r="O48" s="44">
        <f>O15-O46</f>
        <v/>
      </c>
      <c r="P48" s="44">
        <f>P15-P46</f>
        <v/>
      </c>
      <c r="Q48" s="44">
        <f>Q15-Q46</f>
        <v/>
      </c>
      <c r="R48" s="44">
        <f>R15-R46</f>
        <v/>
      </c>
      <c r="S48" s="44">
        <f>S15-S46</f>
        <v/>
      </c>
    </row>
    <row r="49">
      <c r="A49" s="14" t="inlineStr">
        <is>
          <t>Caixa acumulado (operacional)</t>
        </is>
      </c>
      <c r="B49" s="44">
        <f>B48</f>
        <v/>
      </c>
      <c r="C49" s="44">
        <f>B49+C48</f>
        <v/>
      </c>
      <c r="D49" s="44">
        <f>C49+D48</f>
        <v/>
      </c>
      <c r="E49" s="44">
        <f>D49+E48</f>
        <v/>
      </c>
      <c r="F49" s="44">
        <f>E49+F48</f>
        <v/>
      </c>
      <c r="G49" s="44">
        <f>F49+G48</f>
        <v/>
      </c>
      <c r="H49" s="44">
        <f>G49+H48</f>
        <v/>
      </c>
      <c r="I49" s="44">
        <f>H49+I48</f>
        <v/>
      </c>
      <c r="J49" s="44">
        <f>I49+J48</f>
        <v/>
      </c>
      <c r="K49" s="44">
        <f>J49+K48</f>
        <v/>
      </c>
      <c r="L49" s="44">
        <f>K49+L48</f>
        <v/>
      </c>
      <c r="M49" s="44">
        <f>L49+M48</f>
        <v/>
      </c>
      <c r="N49" s="44">
        <f>M49+N48</f>
        <v/>
      </c>
      <c r="O49" s="44">
        <f>N49+O48</f>
        <v/>
      </c>
      <c r="P49" s="44">
        <f>O49+P48</f>
        <v/>
      </c>
      <c r="Q49" s="44">
        <f>P49+Q48</f>
        <v/>
      </c>
      <c r="R49" s="44">
        <f>Q49+R48</f>
        <v/>
      </c>
      <c r="S49" s="44">
        <f>R49+S48</f>
        <v/>
      </c>
    </row>
    <row r="50">
      <c r="A50" s="14" t="inlineStr">
        <is>
          <t>Caixa acumulado incl. investimento</t>
        </is>
      </c>
      <c r="B50" s="44">
        <f>B49-INVEST_TOTAL</f>
        <v/>
      </c>
      <c r="C50" s="44">
        <f>C49-INVEST_TOTAL</f>
        <v/>
      </c>
      <c r="D50" s="44">
        <f>D49-INVEST_TOTAL</f>
        <v/>
      </c>
      <c r="E50" s="44">
        <f>E49-INVEST_TOTAL</f>
        <v/>
      </c>
      <c r="F50" s="44">
        <f>F49-INVEST_TOTAL</f>
        <v/>
      </c>
      <c r="G50" s="44">
        <f>G49-INVEST_TOTAL</f>
        <v/>
      </c>
      <c r="H50" s="44">
        <f>H49-INVEST_TOTAL</f>
        <v/>
      </c>
      <c r="I50" s="44">
        <f>I49-INVEST_TOTAL</f>
        <v/>
      </c>
      <c r="J50" s="44">
        <f>J49-INVEST_TOTAL</f>
        <v/>
      </c>
      <c r="K50" s="44">
        <f>K49-INVEST_TOTAL</f>
        <v/>
      </c>
      <c r="L50" s="44">
        <f>L49-INVEST_TOTAL</f>
        <v/>
      </c>
      <c r="M50" s="44">
        <f>M49-INVEST_TOTAL</f>
        <v/>
      </c>
      <c r="N50" s="44">
        <f>N49-INVEST_TOTAL</f>
        <v/>
      </c>
      <c r="O50" s="44">
        <f>O49-INVEST_TOTAL</f>
        <v/>
      </c>
      <c r="P50" s="44">
        <f>P49-INVEST_TOTAL</f>
        <v/>
      </c>
      <c r="Q50" s="44">
        <f>Q49-INVEST_TOTAL</f>
        <v/>
      </c>
      <c r="R50" s="44">
        <f>R49-INVEST_TOTAL</f>
        <v/>
      </c>
      <c r="S50" s="44">
        <f>S49-INVEST_TOTAL</f>
        <v/>
      </c>
    </row>
    <row r="51">
      <c r="A51" s="14" t="inlineStr">
        <is>
          <t>MARCOS</t>
        </is>
      </c>
      <c r="B51" s="45" t="inlineStr"/>
      <c r="C51" s="45" t="inlineStr"/>
      <c r="D51" s="45">
        <f>IF(AND(D48&gt;0,COUNTIF($D48:D48,"&gt;0")=1),IF(AND(D50&gt;=0,COUNTIF($D50:D50,"&gt;=0")=1),"BE + PAYBACK","BREAK-EVEN"),IF(AND(D50&gt;=0,COUNTIF($D50:D50,"&gt;=0")=1),"PAYBACK",""))</f>
        <v/>
      </c>
      <c r="E51" s="45">
        <f>IF(AND(E48&gt;0,COUNTIF($D48:E48,"&gt;0")=1),IF(AND(E50&gt;=0,COUNTIF($D50:E50,"&gt;=0")=1),"BE + PAYBACK","BREAK-EVEN"),IF(AND(E50&gt;=0,COUNTIF($D50:E50,"&gt;=0")=1),"PAYBACK",""))</f>
        <v/>
      </c>
      <c r="F51" s="45">
        <f>IF(AND(F48&gt;0,COUNTIF($D48:F48,"&gt;0")=1),IF(AND(F50&gt;=0,COUNTIF($D50:F50,"&gt;=0")=1),"BE + PAYBACK","BREAK-EVEN"),IF(AND(F50&gt;=0,COUNTIF($D50:F50,"&gt;=0")=1),"PAYBACK",""))</f>
        <v/>
      </c>
      <c r="G51" s="45">
        <f>IF(AND(G48&gt;0,COUNTIF($D48:G48,"&gt;0")=1),IF(AND(G50&gt;=0,COUNTIF($D50:G50,"&gt;=0")=1),"BE + PAYBACK","BREAK-EVEN"),IF(AND(G50&gt;=0,COUNTIF($D50:G50,"&gt;=0")=1),"PAYBACK",""))</f>
        <v/>
      </c>
      <c r="H51" s="45">
        <f>IF(AND(H48&gt;0,COUNTIF($D48:H48,"&gt;0")=1),IF(AND(H50&gt;=0,COUNTIF($D50:H50,"&gt;=0")=1),"BE + PAYBACK","BREAK-EVEN"),IF(AND(H50&gt;=0,COUNTIF($D50:H50,"&gt;=0")=1),"PAYBACK",""))</f>
        <v/>
      </c>
      <c r="I51" s="45">
        <f>IF(AND(I48&gt;0,COUNTIF($D48:I48,"&gt;0")=1),IF(AND(I50&gt;=0,COUNTIF($D50:I50,"&gt;=0")=1),"BE + PAYBACK","BREAK-EVEN"),IF(AND(I50&gt;=0,COUNTIF($D50:I50,"&gt;=0")=1),"PAYBACK",""))</f>
        <v/>
      </c>
      <c r="J51" s="45">
        <f>IF(AND(J48&gt;0,COUNTIF($D48:J48,"&gt;0")=1),IF(AND(J50&gt;=0,COUNTIF($D50:J50,"&gt;=0")=1),"BE + PAYBACK","BREAK-EVEN"),IF(AND(J50&gt;=0,COUNTIF($D50:J50,"&gt;=0")=1),"PAYBACK",""))</f>
        <v/>
      </c>
      <c r="K51" s="45">
        <f>IF(AND(K48&gt;0,COUNTIF($D48:K48,"&gt;0")=1),IF(AND(K50&gt;=0,COUNTIF($D50:K50,"&gt;=0")=1),"BE + PAYBACK","BREAK-EVEN"),IF(AND(K50&gt;=0,COUNTIF($D50:K50,"&gt;=0")=1),"PAYBACK",""))</f>
        <v/>
      </c>
      <c r="L51" s="45">
        <f>IF(AND(L48&gt;0,COUNTIF($D48:L48,"&gt;0")=1),IF(AND(L50&gt;=0,COUNTIF($D50:L50,"&gt;=0")=1),"BE + PAYBACK","BREAK-EVEN"),IF(AND(L50&gt;=0,COUNTIF($D50:L50,"&gt;=0")=1),"PAYBACK",""))</f>
        <v/>
      </c>
      <c r="M51" s="45">
        <f>IF(AND(M48&gt;0,COUNTIF($D48:M48,"&gt;0")=1),IF(AND(M50&gt;=0,COUNTIF($D50:M50,"&gt;=0")=1),"BE + PAYBACK","BREAK-EVEN"),IF(AND(M50&gt;=0,COUNTIF($D50:M50,"&gt;=0")=1),"PAYBACK",""))</f>
        <v/>
      </c>
      <c r="N51" s="45">
        <f>IF(AND(N48&gt;0,COUNTIF($D48:N48,"&gt;0")=1),IF(AND(N50&gt;=0,COUNTIF($D50:N50,"&gt;=0")=1),"BE + PAYBACK","BREAK-EVEN"),IF(AND(N50&gt;=0,COUNTIF($D50:N50,"&gt;=0")=1),"PAYBACK",""))</f>
        <v/>
      </c>
      <c r="O51" s="45">
        <f>IF(AND(O48&gt;0,COUNTIF($D48:O48,"&gt;0")=1),IF(AND(O50&gt;=0,COUNTIF($D50:O50,"&gt;=0")=1),"BE + PAYBACK","BREAK-EVEN"),IF(AND(O50&gt;=0,COUNTIF($D50:O50,"&gt;=0")=1),"PAYBACK",""))</f>
        <v/>
      </c>
      <c r="P51" s="45">
        <f>IF(AND(P48&gt;0,COUNTIF($D48:P48,"&gt;0")=1),IF(AND(P50&gt;=0,COUNTIF($D50:P50,"&gt;=0")=1),"BE + PAYBACK","BREAK-EVEN"),IF(AND(P50&gt;=0,COUNTIF($D50:P50,"&gt;=0")=1),"PAYBACK",""))</f>
        <v/>
      </c>
      <c r="Q51" s="45">
        <f>IF(AND(Q48&gt;0,COUNTIF($D48:Q48,"&gt;0")=1),IF(AND(Q50&gt;=0,COUNTIF($D50:Q50,"&gt;=0")=1),"BE + PAYBACK","BREAK-EVEN"),IF(AND(Q50&gt;=0,COUNTIF($D50:Q50,"&gt;=0")=1),"PAYBACK",""))</f>
        <v/>
      </c>
      <c r="R51" s="45">
        <f>IF(AND(R48&gt;0,COUNTIF($D48:R48,"&gt;0")=1),IF(AND(R50&gt;=0,COUNTIF($D50:R50,"&gt;=0")=1),"BE + PAYBACK","BREAK-EVEN"),IF(AND(R50&gt;=0,COUNTIF($D50:R50,"&gt;=0")=1),"PAYBACK",""))</f>
        <v/>
      </c>
      <c r="S51" s="45">
        <f>IF(AND(S48&gt;0,COUNTIF($D48:S48,"&gt;0")=1),IF(AND(S50&gt;=0,COUNTIF($D50:S50,"&gt;=0")=1),"BE + PAYBACK","BREAK-EVEN"),IF(AND(S50&gt;=0,COUNTIF($D50:S50,"&gt;=0")=1),"PAYBACK",""))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conditionalFormatting sqref="D7:S7">
    <cfRule type="expression" priority="1" dxfId="0" stopIfTrue="1">
      <formula>AND(D7&gt;=$U$4,COUNTIF($D7:D7,"&gt;="&amp;$U$4)=1)</formula>
    </cfRule>
  </conditionalFormatting>
  <conditionalFormatting sqref="D48:S48">
    <cfRule type="expression" priority="2" dxfId="0" stopIfTrue="1">
      <formula>AND(D48&gt;0,COUNTIF($D48:D48,"&gt;0")=1)</formula>
    </cfRule>
  </conditionalFormatting>
  <conditionalFormatting sqref="D50:S50">
    <cfRule type="expression" priority="3" dxfId="1" stopIfTrue="1">
      <formula>AND(D50&gt;=0,COUNTIF($D50:D50,"&gt;=0")=1)</formula>
    </cfRule>
  </conditionalFormatting>
  <conditionalFormatting sqref="D51:S51">
    <cfRule type="expression" priority="4" dxfId="0" stopIfTrue="1">
      <formula>OR(D51="BREAK-EVEN",D51="BE + PAYBACK")</formula>
    </cfRule>
    <cfRule type="expression" priority="5" dxfId="1" stopIfTrue="1">
      <formula>D51="PAYBACK"</formula>
    </cfRule>
  </conditionalFormatting>
  <conditionalFormatting sqref="B7:S7">
    <cfRule type="expression" priority="6" dxfId="2">
      <formula>B7&gt;=$U$4</formula>
    </cfRule>
  </conditionalFormatting>
  <conditionalFormatting sqref="B48:S48">
    <cfRule type="cellIs" priority="7" operator="greaterThan" dxfId="2">
      <formula>0</formula>
    </cfRule>
  </conditionalFormatting>
  <conditionalFormatting sqref="B50:S50">
    <cfRule type="cellIs" priority="8" operator="greaterThanOrEqual" dxfId="2">
      <formula>0</formula>
    </cfRule>
  </conditionalFormatting>
  <conditionalFormatting sqref="D9:S9">
    <cfRule type="cellIs" priority="9" operator="greaterThan" dxfId="3">
      <formula>1</formula>
    </cfRule>
  </conditionalFormatting>
  <dataValidations count="1">
    <dataValidation sqref="B3:S3" showDropDown="0" showInputMessage="0" showErrorMessage="0" allowBlank="1" errorTitle="Valor inválido" error="Digite um número inteiro de matrículas (0 ou mais)." type="whole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6" customWidth="1" min="21" max="21"/>
  </cols>
  <sheetData>
    <row r="1">
      <c r="A1" s="4" t="inlineStr">
        <is>
          <t>Cenário Moderado</t>
        </is>
      </c>
      <c r="B1" s="23" t="inlineStr">
        <is>
          <t>Out (obras)</t>
        </is>
      </c>
      <c r="C1" s="23" t="inlineStr">
        <is>
          <t>Nov (obras)</t>
        </is>
      </c>
      <c r="D1" s="23" t="inlineStr">
        <is>
          <t>Dez (M1)</t>
        </is>
      </c>
      <c r="E1" s="23" t="inlineStr">
        <is>
          <t>Jan (M2)</t>
        </is>
      </c>
      <c r="F1" s="23" t="inlineStr">
        <is>
          <t>Fev (M3)</t>
        </is>
      </c>
      <c r="G1" s="23" t="inlineStr">
        <is>
          <t>Mar (M4)</t>
        </is>
      </c>
      <c r="H1" s="23" t="inlineStr">
        <is>
          <t>Abr (M5)</t>
        </is>
      </c>
      <c r="I1" s="23" t="inlineStr">
        <is>
          <t>Mai (M6)</t>
        </is>
      </c>
      <c r="J1" s="23" t="inlineStr">
        <is>
          <t>Jun (M7)</t>
        </is>
      </c>
      <c r="K1" s="23" t="inlineStr">
        <is>
          <t>Jul (M8)</t>
        </is>
      </c>
      <c r="L1" s="23" t="inlineStr">
        <is>
          <t>Ago (M9)</t>
        </is>
      </c>
      <c r="M1" s="23" t="inlineStr">
        <is>
          <t>Set (M10)</t>
        </is>
      </c>
      <c r="N1" s="23" t="inlineStr">
        <is>
          <t>Out (M11)</t>
        </is>
      </c>
      <c r="O1" s="23" t="inlineStr">
        <is>
          <t>Nov (M12)</t>
        </is>
      </c>
      <c r="P1" s="23" t="inlineStr">
        <is>
          <t>Dez (M13)</t>
        </is>
      </c>
      <c r="Q1" s="23" t="inlineStr">
        <is>
          <t>Jan (M14)</t>
        </is>
      </c>
      <c r="R1" s="23" t="inlineStr">
        <is>
          <t>Fev (M15)</t>
        </is>
      </c>
      <c r="S1" s="23" t="inlineStr">
        <is>
          <t>Mar (M16)</t>
        </is>
      </c>
    </row>
    <row r="2">
      <c r="A2" s="34" t="inlineStr">
        <is>
          <t>Período (0 = out)</t>
        </is>
      </c>
      <c r="B2" s="35" t="n">
        <v>0</v>
      </c>
      <c r="C2" s="35" t="n">
        <v>1</v>
      </c>
      <c r="D2" s="35" t="n">
        <v>2</v>
      </c>
      <c r="E2" s="35" t="n">
        <v>3</v>
      </c>
      <c r="F2" s="35" t="n">
        <v>4</v>
      </c>
      <c r="G2" s="35" t="n">
        <v>5</v>
      </c>
      <c r="H2" s="35" t="n">
        <v>6</v>
      </c>
      <c r="I2" s="35" t="n">
        <v>7</v>
      </c>
      <c r="J2" s="35" t="n">
        <v>8</v>
      </c>
      <c r="K2" s="35" t="n">
        <v>9</v>
      </c>
      <c r="L2" s="35" t="n">
        <v>10</v>
      </c>
      <c r="M2" s="35" t="n">
        <v>11</v>
      </c>
      <c r="N2" s="35" t="n">
        <v>12</v>
      </c>
      <c r="O2" s="35" t="n">
        <v>13</v>
      </c>
      <c r="P2" s="35" t="n">
        <v>14</v>
      </c>
      <c r="Q2" s="35" t="n">
        <v>15</v>
      </c>
      <c r="R2" s="35" t="n">
        <v>16</v>
      </c>
      <c r="S2" s="35" t="n">
        <v>17</v>
      </c>
    </row>
    <row r="3">
      <c r="A3" t="inlineStr">
        <is>
          <t>Matrículas — entrada manual  ✏️ editável</t>
        </is>
      </c>
      <c r="B3" s="13" t="n">
        <v>4</v>
      </c>
      <c r="C3" s="13" t="n">
        <v>35</v>
      </c>
      <c r="D3" s="13" t="n">
        <v>13</v>
      </c>
      <c r="E3" s="13" t="n">
        <v>30</v>
      </c>
      <c r="F3" s="13" t="n">
        <v>30</v>
      </c>
      <c r="G3" s="13" t="n">
        <v>20</v>
      </c>
      <c r="H3" s="13" t="n">
        <v>20</v>
      </c>
      <c r="I3" s="13" t="n">
        <v>20</v>
      </c>
      <c r="J3" s="13" t="n">
        <v>20</v>
      </c>
      <c r="K3" s="13" t="n">
        <v>30</v>
      </c>
      <c r="L3" s="13" t="n">
        <v>30</v>
      </c>
      <c r="M3" s="13" t="n">
        <v>20</v>
      </c>
      <c r="N3" s="13" t="n">
        <v>20</v>
      </c>
      <c r="O3" s="13" t="n">
        <v>30</v>
      </c>
      <c r="P3" s="13" t="n">
        <v>30</v>
      </c>
      <c r="Q3" s="13" t="n">
        <v>20</v>
      </c>
      <c r="R3" s="13" t="n">
        <v>30</v>
      </c>
      <c r="S3" s="13" t="n">
        <v>20</v>
      </c>
      <c r="U3" s="7" t="inlineStr">
        <is>
          <t>Break-even (alunos):</t>
        </is>
      </c>
    </row>
    <row r="4">
      <c r="A4" s="14" t="inlineStr">
        <is>
          <t>Matrículas no período (vale para o cálculo)</t>
        </is>
      </c>
      <c r="B4" s="36">
        <f>IF(Premissas!$B$59=3,'Canais de aquisição'!C$9,IF(Premissas!$B$59=2,ROUND('Custos mês a mês'!B$11/MAX(Premissas!$B$60,1),0),B3))</f>
        <v/>
      </c>
      <c r="C4" s="36">
        <f>IF(Premissas!$B$59=3,'Canais de aquisição'!D$9,IF(Premissas!$B$59=2,ROUND('Custos mês a mês'!C$11/MAX(Premissas!$B$60,1),0),C3))</f>
        <v/>
      </c>
      <c r="D4" s="36">
        <f>IF(Premissas!$B$59=3,'Canais de aquisição'!E$9,IF(Premissas!$B$59=2,ROUND('Custos mês a mês'!D$11/MAX(Premissas!$B$60,1),0),D3))</f>
        <v/>
      </c>
      <c r="E4" s="36">
        <f>IF(Premissas!$B$59=3,'Canais de aquisição'!F$9,IF(Premissas!$B$59=2,ROUND('Custos mês a mês'!E$11/MAX(Premissas!$B$60,1),0),E3))</f>
        <v/>
      </c>
      <c r="F4" s="36">
        <f>IF(Premissas!$B$59=3,'Canais de aquisição'!G$9,IF(Premissas!$B$59=2,ROUND('Custos mês a mês'!F$11/MAX(Premissas!$B$60,1),0),F3))</f>
        <v/>
      </c>
      <c r="G4" s="36">
        <f>IF(Premissas!$B$59=3,'Canais de aquisição'!H$9,IF(Premissas!$B$59=2,ROUND('Custos mês a mês'!G$11/MAX(Premissas!$B$60,1),0),G3))</f>
        <v/>
      </c>
      <c r="H4" s="36">
        <f>IF(Premissas!$B$59=3,'Canais de aquisição'!I$9,IF(Premissas!$B$59=2,ROUND('Custos mês a mês'!H$11/MAX(Premissas!$B$60,1),0),H3))</f>
        <v/>
      </c>
      <c r="I4" s="36">
        <f>IF(Premissas!$B$59=3,'Canais de aquisição'!J$9,IF(Premissas!$B$59=2,ROUND('Custos mês a mês'!I$11/MAX(Premissas!$B$60,1),0),I3))</f>
        <v/>
      </c>
      <c r="J4" s="36">
        <f>IF(Premissas!$B$59=3,'Canais de aquisição'!K$9,IF(Premissas!$B$59=2,ROUND('Custos mês a mês'!J$11/MAX(Premissas!$B$60,1),0),J3))</f>
        <v/>
      </c>
      <c r="K4" s="36">
        <f>IF(Premissas!$B$59=3,'Canais de aquisição'!L$9,IF(Premissas!$B$59=2,ROUND('Custos mês a mês'!K$11/MAX(Premissas!$B$60,1),0),K3))</f>
        <v/>
      </c>
      <c r="L4" s="36">
        <f>IF(Premissas!$B$59=3,'Canais de aquisição'!M$9,IF(Premissas!$B$59=2,ROUND('Custos mês a mês'!L$11/MAX(Premissas!$B$60,1),0),L3))</f>
        <v/>
      </c>
      <c r="M4" s="36">
        <f>IF(Premissas!$B$59=3,'Canais de aquisição'!N$9,IF(Premissas!$B$59=2,ROUND('Custos mês a mês'!M$11/MAX(Premissas!$B$60,1),0),M3))</f>
        <v/>
      </c>
      <c r="N4" s="36">
        <f>IF(Premissas!$B$59=3,'Canais de aquisição'!O$9,IF(Premissas!$B$59=2,ROUND('Custos mês a mês'!N$11/MAX(Premissas!$B$60,1),0),N3))</f>
        <v/>
      </c>
      <c r="O4" s="36">
        <f>IF(Premissas!$B$59=3,'Canais de aquisição'!P$9,IF(Premissas!$B$59=2,ROUND('Custos mês a mês'!O$11/MAX(Premissas!$B$60,1),0),O3))</f>
        <v/>
      </c>
      <c r="P4" s="36">
        <f>IF(Premissas!$B$59=3,'Canais de aquisição'!Q$9,IF(Premissas!$B$59=2,ROUND('Custos mês a mês'!P$11/MAX(Premissas!$B$60,1),0),P3))</f>
        <v/>
      </c>
      <c r="Q4" s="36">
        <f>IF(Premissas!$B$59=3,'Canais de aquisição'!R$9,IF(Premissas!$B$59=2,ROUND('Custos mês a mês'!Q$11/MAX(Premissas!$B$60,1),0),Q3))</f>
        <v/>
      </c>
      <c r="R4" s="36">
        <f>IF(Premissas!$B$59=3,'Canais de aquisição'!S$9,IF(Premissas!$B$59=2,ROUND('Custos mês a mês'!R$11/MAX(Premissas!$B$60,1),0),R3))</f>
        <v/>
      </c>
      <c r="S4" s="36">
        <f>IF(Premissas!$B$59=3,'Canais de aquisição'!T$9,IF(Premissas!$B$59=2,ROUND('Custos mês a mês'!S$11/MAX(Premissas!$B$60,1),0),S3))</f>
        <v/>
      </c>
      <c r="U4" s="37">
        <f>Premissas!$B$90</f>
        <v/>
      </c>
    </row>
    <row r="5">
      <c r="A5" t="inlineStr">
        <is>
          <t>CAC realizado (marketing + canais ÷ matrículas)</t>
        </is>
      </c>
      <c r="B5" s="29">
        <f>IF(B4=0,0,('Custos mês a mês'!B$11+'Canais de aquisição'!C$10)/B4)</f>
        <v/>
      </c>
      <c r="C5" s="29">
        <f>IF(C4=0,0,('Custos mês a mês'!C$11+'Canais de aquisição'!D$10)/C4)</f>
        <v/>
      </c>
      <c r="D5" s="29">
        <f>IF(D4=0,0,('Custos mês a mês'!D$11+'Canais de aquisição'!E$10)/D4)</f>
        <v/>
      </c>
      <c r="E5" s="29">
        <f>IF(E4=0,0,('Custos mês a mês'!E$11+'Canais de aquisição'!F$10)/E4)</f>
        <v/>
      </c>
      <c r="F5" s="29">
        <f>IF(F4=0,0,('Custos mês a mês'!F$11+'Canais de aquisição'!G$10)/F4)</f>
        <v/>
      </c>
      <c r="G5" s="29">
        <f>IF(G4=0,0,('Custos mês a mês'!G$11+'Canais de aquisição'!H$10)/G4)</f>
        <v/>
      </c>
      <c r="H5" s="29">
        <f>IF(H4=0,0,('Custos mês a mês'!H$11+'Canais de aquisição'!I$10)/H4)</f>
        <v/>
      </c>
      <c r="I5" s="29">
        <f>IF(I4=0,0,('Custos mês a mês'!I$11+'Canais de aquisição'!J$10)/I4)</f>
        <v/>
      </c>
      <c r="J5" s="29">
        <f>IF(J4=0,0,('Custos mês a mês'!J$11+'Canais de aquisição'!K$10)/J4)</f>
        <v/>
      </c>
      <c r="K5" s="29">
        <f>IF(K4=0,0,('Custos mês a mês'!K$11+'Canais de aquisição'!L$10)/K4)</f>
        <v/>
      </c>
      <c r="L5" s="29">
        <f>IF(L4=0,0,('Custos mês a mês'!L$11+'Canais de aquisição'!M$10)/L4)</f>
        <v/>
      </c>
      <c r="M5" s="29">
        <f>IF(M4=0,0,('Custos mês a mês'!M$11+'Canais de aquisição'!N$10)/M4)</f>
        <v/>
      </c>
      <c r="N5" s="29">
        <f>IF(N4=0,0,('Custos mês a mês'!N$11+'Canais de aquisição'!O$10)/N4)</f>
        <v/>
      </c>
      <c r="O5" s="29">
        <f>IF(O4=0,0,('Custos mês a mês'!O$11+'Canais de aquisição'!P$10)/O4)</f>
        <v/>
      </c>
      <c r="P5" s="29">
        <f>IF(P4=0,0,('Custos mês a mês'!P$11+'Canais de aquisição'!Q$10)/P4)</f>
        <v/>
      </c>
      <c r="Q5" s="29">
        <f>IF(Q4=0,0,('Custos mês a mês'!Q$11+'Canais de aquisição'!R$10)/Q4)</f>
        <v/>
      </c>
      <c r="R5" s="29">
        <f>IF(R4=0,0,('Custos mês a mês'!R$11+'Canais de aquisição'!S$10)/R4)</f>
        <v/>
      </c>
      <c r="S5" s="29">
        <f>IF(S4=0,0,('Custos mês a mês'!S$11+'Canais de aquisição'!T$10)/S4)</f>
        <v/>
      </c>
    </row>
    <row r="6">
      <c r="A6" t="inlineStr">
        <is>
          <t>Desistências no mês</t>
        </is>
      </c>
      <c r="B6" s="30" t="n">
        <v>0</v>
      </c>
      <c r="C6" s="30">
        <f>B7*Premissas!$B$8*Premissas!$B$55</f>
        <v/>
      </c>
      <c r="D6" s="30">
        <f>C7*Premissas!$B$8*Premissas!$B$56</f>
        <v/>
      </c>
      <c r="E6" s="30">
        <f>D7*Premissas!$B$8*Premissas!$B$45</f>
        <v/>
      </c>
      <c r="F6" s="30">
        <f>E7*Premissas!$B$8*Premissas!$B$46</f>
        <v/>
      </c>
      <c r="G6" s="30">
        <f>F7*Premissas!$B$8*Premissas!$B$47</f>
        <v/>
      </c>
      <c r="H6" s="30">
        <f>G7*Premissas!$B$8*Premissas!$B$48</f>
        <v/>
      </c>
      <c r="I6" s="30">
        <f>H7*Premissas!$B$8*Premissas!$B$49</f>
        <v/>
      </c>
      <c r="J6" s="30">
        <f>I7*Premissas!$B$8*Premissas!$B$50</f>
        <v/>
      </c>
      <c r="K6" s="30">
        <f>J7*Premissas!$B$8*Premissas!$B$51</f>
        <v/>
      </c>
      <c r="L6" s="30">
        <f>K7*Premissas!$B$8*Premissas!$B$52</f>
        <v/>
      </c>
      <c r="M6" s="30">
        <f>L7*Premissas!$B$8*Premissas!$B$53</f>
        <v/>
      </c>
      <c r="N6" s="30">
        <f>M7*Premissas!$B$8*Premissas!$B$54</f>
        <v/>
      </c>
      <c r="O6" s="30">
        <f>N7*Premissas!$B$8*Premissas!$B$55</f>
        <v/>
      </c>
      <c r="P6" s="30">
        <f>O7*Premissas!$B$8*Premissas!$B$56</f>
        <v/>
      </c>
      <c r="Q6" s="30">
        <f>P7*Premissas!$B$8*Premissas!$B$45</f>
        <v/>
      </c>
      <c r="R6" s="30">
        <f>Q7*Premissas!$B$8*Premissas!$B$46</f>
        <v/>
      </c>
      <c r="S6" s="30">
        <f>R7*Premissas!$B$8*Premissas!$B$47</f>
        <v/>
      </c>
      <c r="U6" s="38" t="inlineStr">
        <is>
          <t>🟢 VERDE FORTE = mês do BREAK-EVEN</t>
        </is>
      </c>
    </row>
    <row r="7">
      <c r="A7" s="14" t="inlineStr">
        <is>
          <t>Total de alunos</t>
        </is>
      </c>
      <c r="B7" s="39">
        <f>B4</f>
        <v/>
      </c>
      <c r="C7" s="39">
        <f>B7-C6+C4</f>
        <v/>
      </c>
      <c r="D7" s="39">
        <f>C7-D6+D4</f>
        <v/>
      </c>
      <c r="E7" s="39">
        <f>D7-E6+E4</f>
        <v/>
      </c>
      <c r="F7" s="39">
        <f>E7-F6+F4</f>
        <v/>
      </c>
      <c r="G7" s="39">
        <f>F7-G6+G4</f>
        <v/>
      </c>
      <c r="H7" s="39">
        <f>G7-H6+H4</f>
        <v/>
      </c>
      <c r="I7" s="39">
        <f>H7-I6+I4</f>
        <v/>
      </c>
      <c r="J7" s="39">
        <f>I7-J6+J4</f>
        <v/>
      </c>
      <c r="K7" s="39">
        <f>J7-K6+K4</f>
        <v/>
      </c>
      <c r="L7" s="39">
        <f>K7-L6+L4</f>
        <v/>
      </c>
      <c r="M7" s="39">
        <f>L7-M6+M4</f>
        <v/>
      </c>
      <c r="N7" s="39">
        <f>M7-N6+N4</f>
        <v/>
      </c>
      <c r="O7" s="39">
        <f>N7-O6+O4</f>
        <v/>
      </c>
      <c r="P7" s="39">
        <f>O7-P6+P4</f>
        <v/>
      </c>
      <c r="Q7" s="39">
        <f>P7-Q6+Q4</f>
        <v/>
      </c>
      <c r="R7" s="39">
        <f>Q7-R6+R4</f>
        <v/>
      </c>
      <c r="S7" s="39">
        <f>R7-S6+S4</f>
        <v/>
      </c>
      <c r="U7" s="40" t="inlineStr">
        <is>
          <t>🟦 AZUL = mês do PAYBACK</t>
        </is>
      </c>
    </row>
    <row r="8">
      <c r="A8" t="inlineStr">
        <is>
          <t>Professores necessários</t>
        </is>
      </c>
      <c r="B8" s="27" t="n">
        <v>0</v>
      </c>
      <c r="C8" s="27" t="n">
        <v>0</v>
      </c>
      <c r="D8" s="27">
        <f>CEILING(CEILING(D7*Premissas!$B$37/Premissas!$B$27,1)*Premissas!$B$28/Premissas!$B$34,1)+CEILING(CEILING(D7*Premissas!$B$38/Premissas!$B$30,1)*Premissas!$B$31/Premissas!$B$34,1)</f>
        <v/>
      </c>
      <c r="E8" s="27">
        <f>CEILING(CEILING(E7*Premissas!$B$37/Premissas!$B$27,1)*Premissas!$B$28/Premissas!$B$34,1)+CEILING(CEILING(E7*Premissas!$B$38/Premissas!$B$30,1)*Premissas!$B$31/Premissas!$B$34,1)</f>
        <v/>
      </c>
      <c r="F8" s="27">
        <f>CEILING(CEILING(F7*Premissas!$B$37/Premissas!$B$27,1)*Premissas!$B$28/Premissas!$B$34,1)+CEILING(CEILING(F7*Premissas!$B$38/Premissas!$B$30,1)*Premissas!$B$31/Premissas!$B$34,1)</f>
        <v/>
      </c>
      <c r="G8" s="27">
        <f>CEILING(CEILING(G7*Premissas!$B$37/Premissas!$B$27,1)*Premissas!$B$28/Premissas!$B$34,1)+CEILING(CEILING(G7*Premissas!$B$38/Premissas!$B$30,1)*Premissas!$B$31/Premissas!$B$34,1)</f>
        <v/>
      </c>
      <c r="H8" s="27">
        <f>CEILING(CEILING(H7*Premissas!$B$37/Premissas!$B$27,1)*Premissas!$B$28/Premissas!$B$34,1)+CEILING(CEILING(H7*Premissas!$B$38/Premissas!$B$30,1)*Premissas!$B$31/Premissas!$B$34,1)</f>
        <v/>
      </c>
      <c r="I8" s="27">
        <f>CEILING(CEILING(I7*Premissas!$B$37/Premissas!$B$27,1)*Premissas!$B$28/Premissas!$B$34,1)+CEILING(CEILING(I7*Premissas!$B$38/Premissas!$B$30,1)*Premissas!$B$31/Premissas!$B$34,1)</f>
        <v/>
      </c>
      <c r="J8" s="27">
        <f>CEILING(CEILING(J7*Premissas!$B$37/Premissas!$B$27,1)*Premissas!$B$28/Premissas!$B$34,1)+CEILING(CEILING(J7*Premissas!$B$38/Premissas!$B$30,1)*Premissas!$B$31/Premissas!$B$34,1)</f>
        <v/>
      </c>
      <c r="K8" s="27">
        <f>CEILING(CEILING(K7*Premissas!$B$37/Premissas!$B$27,1)*Premissas!$B$28/Premissas!$B$34,1)+CEILING(CEILING(K7*Premissas!$B$38/Premissas!$B$30,1)*Premissas!$B$31/Premissas!$B$34,1)</f>
        <v/>
      </c>
      <c r="L8" s="27">
        <f>CEILING(CEILING(L7*Premissas!$B$37/Premissas!$B$27,1)*Premissas!$B$28/Premissas!$B$34,1)+CEILING(CEILING(L7*Premissas!$B$38/Premissas!$B$30,1)*Premissas!$B$31/Premissas!$B$34,1)</f>
        <v/>
      </c>
      <c r="M8" s="27">
        <f>CEILING(CEILING(M7*Premissas!$B$37/Premissas!$B$27,1)*Premissas!$B$28/Premissas!$B$34,1)+CEILING(CEILING(M7*Premissas!$B$38/Premissas!$B$30,1)*Premissas!$B$31/Premissas!$B$34,1)</f>
        <v/>
      </c>
      <c r="N8" s="27">
        <f>CEILING(CEILING(N7*Premissas!$B$37/Premissas!$B$27,1)*Premissas!$B$28/Premissas!$B$34,1)+CEILING(CEILING(N7*Premissas!$B$38/Premissas!$B$30,1)*Premissas!$B$31/Premissas!$B$34,1)</f>
        <v/>
      </c>
      <c r="O8" s="27">
        <f>CEILING(CEILING(O7*Premissas!$B$37/Premissas!$B$27,1)*Premissas!$B$28/Premissas!$B$34,1)+CEILING(CEILING(O7*Premissas!$B$38/Premissas!$B$30,1)*Premissas!$B$31/Premissas!$B$34,1)</f>
        <v/>
      </c>
      <c r="P8" s="27">
        <f>CEILING(CEILING(P7*Premissas!$B$37/Premissas!$B$27,1)*Premissas!$B$28/Premissas!$B$34,1)+CEILING(CEILING(P7*Premissas!$B$38/Premissas!$B$30,1)*Premissas!$B$31/Premissas!$B$34,1)</f>
        <v/>
      </c>
      <c r="Q8" s="27">
        <f>CEILING(CEILING(Q7*Premissas!$B$37/Premissas!$B$27,1)*Premissas!$B$28/Premissas!$B$34,1)+CEILING(CEILING(Q7*Premissas!$B$38/Premissas!$B$30,1)*Premissas!$B$31/Premissas!$B$34,1)</f>
        <v/>
      </c>
      <c r="R8" s="27">
        <f>CEILING(CEILING(R7*Premissas!$B$37/Premissas!$B$27,1)*Premissas!$B$28/Premissas!$B$34,1)+CEILING(CEILING(R7*Premissas!$B$38/Premissas!$B$30,1)*Premissas!$B$31/Premissas!$B$34,1)</f>
        <v/>
      </c>
      <c r="S8" s="27">
        <f>CEILING(CEILING(S7*Premissas!$B$37/Premissas!$B$27,1)*Premissas!$B$28/Premissas!$B$34,1)+CEILING(CEILING(S7*Premissas!$B$38/Premissas!$B$30,1)*Premissas!$B$31/Premissas!$B$34,1)</f>
        <v/>
      </c>
      <c r="U8" s="41" t="inlineStr">
        <is>
          <t>🟩 verde claro = meses já positivos</t>
        </is>
      </c>
    </row>
    <row r="9">
      <c r="A9" t="inlineStr">
        <is>
          <t>Ocupação das salas (100% = grade cheia)</t>
        </is>
      </c>
      <c r="B9" s="28" t="n">
        <v>0</v>
      </c>
      <c r="C9" s="28" t="n">
        <v>0</v>
      </c>
      <c r="D9" s="28">
        <f>MAX(CEILING(D7*Premissas!$B$37/Premissas!$B$27,1)*Premissas!$B$28/(Premissas!$B$26*Premissas!$B$32*Premissas!$B$33*Premissas!$B$25),CEILING(D7*Premissas!$B$38/Premissas!$B$30,1)*Premissas!$B$31/(Premissas!$B$29*Premissas!$B$32*Premissas!$B$33*Premissas!$B$25))</f>
        <v/>
      </c>
      <c r="E9" s="28">
        <f>MAX(CEILING(E7*Premissas!$B$37/Premissas!$B$27,1)*Premissas!$B$28/(Premissas!$B$26*Premissas!$B$32*Premissas!$B$33*Premissas!$B$25),CEILING(E7*Premissas!$B$38/Premissas!$B$30,1)*Premissas!$B$31/(Premissas!$B$29*Premissas!$B$32*Premissas!$B$33*Premissas!$B$25))</f>
        <v/>
      </c>
      <c r="F9" s="28">
        <f>MAX(CEILING(F7*Premissas!$B$37/Premissas!$B$27,1)*Premissas!$B$28/(Premissas!$B$26*Premissas!$B$32*Premissas!$B$33*Premissas!$B$25),CEILING(F7*Premissas!$B$38/Premissas!$B$30,1)*Premissas!$B$31/(Premissas!$B$29*Premissas!$B$32*Premissas!$B$33*Premissas!$B$25))</f>
        <v/>
      </c>
      <c r="G9" s="28">
        <f>MAX(CEILING(G7*Premissas!$B$37/Premissas!$B$27,1)*Premissas!$B$28/(Premissas!$B$26*Premissas!$B$32*Premissas!$B$33*Premissas!$B$25),CEILING(G7*Premissas!$B$38/Premissas!$B$30,1)*Premissas!$B$31/(Premissas!$B$29*Premissas!$B$32*Premissas!$B$33*Premissas!$B$25))</f>
        <v/>
      </c>
      <c r="H9" s="28">
        <f>MAX(CEILING(H7*Premissas!$B$37/Premissas!$B$27,1)*Premissas!$B$28/(Premissas!$B$26*Premissas!$B$32*Premissas!$B$33*Premissas!$B$25),CEILING(H7*Premissas!$B$38/Premissas!$B$30,1)*Premissas!$B$31/(Premissas!$B$29*Premissas!$B$32*Premissas!$B$33*Premissas!$B$25))</f>
        <v/>
      </c>
      <c r="I9" s="28">
        <f>MAX(CEILING(I7*Premissas!$B$37/Premissas!$B$27,1)*Premissas!$B$28/(Premissas!$B$26*Premissas!$B$32*Premissas!$B$33*Premissas!$B$25),CEILING(I7*Premissas!$B$38/Premissas!$B$30,1)*Premissas!$B$31/(Premissas!$B$29*Premissas!$B$32*Premissas!$B$33*Premissas!$B$25))</f>
        <v/>
      </c>
      <c r="J9" s="28">
        <f>MAX(CEILING(J7*Premissas!$B$37/Premissas!$B$27,1)*Premissas!$B$28/(Premissas!$B$26*Premissas!$B$32*Premissas!$B$33*Premissas!$B$25),CEILING(J7*Premissas!$B$38/Premissas!$B$30,1)*Premissas!$B$31/(Premissas!$B$29*Premissas!$B$32*Premissas!$B$33*Premissas!$B$25))</f>
        <v/>
      </c>
      <c r="K9" s="28">
        <f>MAX(CEILING(K7*Premissas!$B$37/Premissas!$B$27,1)*Premissas!$B$28/(Premissas!$B$26*Premissas!$B$32*Premissas!$B$33*Premissas!$B$25),CEILING(K7*Premissas!$B$38/Premissas!$B$30,1)*Premissas!$B$31/(Premissas!$B$29*Premissas!$B$32*Premissas!$B$33*Premissas!$B$25))</f>
        <v/>
      </c>
      <c r="L9" s="28">
        <f>MAX(CEILING(L7*Premissas!$B$37/Premissas!$B$27,1)*Premissas!$B$28/(Premissas!$B$26*Premissas!$B$32*Premissas!$B$33*Premissas!$B$25),CEILING(L7*Premissas!$B$38/Premissas!$B$30,1)*Premissas!$B$31/(Premissas!$B$29*Premissas!$B$32*Premissas!$B$33*Premissas!$B$25))</f>
        <v/>
      </c>
      <c r="M9" s="28">
        <f>MAX(CEILING(M7*Premissas!$B$37/Premissas!$B$27,1)*Premissas!$B$28/(Premissas!$B$26*Premissas!$B$32*Premissas!$B$33*Premissas!$B$25),CEILING(M7*Premissas!$B$38/Premissas!$B$30,1)*Premissas!$B$31/(Premissas!$B$29*Premissas!$B$32*Premissas!$B$33*Premissas!$B$25))</f>
        <v/>
      </c>
      <c r="N9" s="28">
        <f>MAX(CEILING(N7*Premissas!$B$37/Premissas!$B$27,1)*Premissas!$B$28/(Premissas!$B$26*Premissas!$B$32*Premissas!$B$33*Premissas!$B$25),CEILING(N7*Premissas!$B$38/Premissas!$B$30,1)*Premissas!$B$31/(Premissas!$B$29*Premissas!$B$32*Premissas!$B$33*Premissas!$B$25))</f>
        <v/>
      </c>
      <c r="O9" s="28">
        <f>MAX(CEILING(O7*Premissas!$B$37/Premissas!$B$27,1)*Premissas!$B$28/(Premissas!$B$26*Premissas!$B$32*Premissas!$B$33*Premissas!$B$25),CEILING(O7*Premissas!$B$38/Premissas!$B$30,1)*Premissas!$B$31/(Premissas!$B$29*Premissas!$B$32*Premissas!$B$33*Premissas!$B$25))</f>
        <v/>
      </c>
      <c r="P9" s="28">
        <f>MAX(CEILING(P7*Premissas!$B$37/Premissas!$B$27,1)*Premissas!$B$28/(Premissas!$B$26*Premissas!$B$32*Premissas!$B$33*Premissas!$B$25),CEILING(P7*Premissas!$B$38/Premissas!$B$30,1)*Premissas!$B$31/(Premissas!$B$29*Premissas!$B$32*Premissas!$B$33*Premissas!$B$25))</f>
        <v/>
      </c>
      <c r="Q9" s="28">
        <f>MAX(CEILING(Q7*Premissas!$B$37/Premissas!$B$27,1)*Premissas!$B$28/(Premissas!$B$26*Premissas!$B$32*Premissas!$B$33*Premissas!$B$25),CEILING(Q7*Premissas!$B$38/Premissas!$B$30,1)*Premissas!$B$31/(Premissas!$B$29*Premissas!$B$32*Premissas!$B$33*Premissas!$B$25))</f>
        <v/>
      </c>
      <c r="R9" s="28">
        <f>MAX(CEILING(R7*Premissas!$B$37/Premissas!$B$27,1)*Premissas!$B$28/(Premissas!$B$26*Premissas!$B$32*Premissas!$B$33*Premissas!$B$25),CEILING(R7*Premissas!$B$38/Premissas!$B$30,1)*Premissas!$B$31/(Premissas!$B$29*Premissas!$B$32*Premissas!$B$33*Premissas!$B$25))</f>
        <v/>
      </c>
      <c r="S9" s="28">
        <f>MAX(CEILING(S7*Premissas!$B$37/Premissas!$B$27,1)*Premissas!$B$28/(Premissas!$B$26*Premissas!$B$32*Premissas!$B$33*Premissas!$B$25),CEILING(S7*Premissas!$B$38/Premissas!$B$30,1)*Premissas!$B$31/(Premissas!$B$29*Premissas!$B$32*Premissas!$B$33*Premissas!$B$25))</f>
        <v/>
      </c>
    </row>
    <row r="11">
      <c r="A11" s="8" t="inlineStr">
        <is>
          <t>RECEITA RECEBIDA (caixa)</t>
        </is>
      </c>
    </row>
    <row r="12">
      <c r="A12" t="inlineStr">
        <is>
          <t>Matrícula</t>
        </is>
      </c>
      <c r="B12" s="29">
        <f>B4*Premissas!$B$3</f>
        <v/>
      </c>
      <c r="C12" s="29">
        <f>C4*Premissas!$B$3</f>
        <v/>
      </c>
      <c r="D12" s="29">
        <f>D4*Premissas!$B$3</f>
        <v/>
      </c>
      <c r="E12" s="29">
        <f>E4*Premissas!$B$3</f>
        <v/>
      </c>
      <c r="F12" s="29">
        <f>F4*Premissas!$B$3</f>
        <v/>
      </c>
      <c r="G12" s="29">
        <f>G4*Premissas!$B$3</f>
        <v/>
      </c>
      <c r="H12" s="29">
        <f>H4*Premissas!$B$3</f>
        <v/>
      </c>
      <c r="I12" s="29">
        <f>I4*Premissas!$B$3</f>
        <v/>
      </c>
      <c r="J12" s="29">
        <f>J4*Premissas!$B$3</f>
        <v/>
      </c>
      <c r="K12" s="29">
        <f>K4*Premissas!$B$3</f>
        <v/>
      </c>
      <c r="L12" s="29">
        <f>L4*Premissas!$B$3</f>
        <v/>
      </c>
      <c r="M12" s="29">
        <f>M4*Premissas!$B$3</f>
        <v/>
      </c>
      <c r="N12" s="29">
        <f>N4*Premissas!$B$3</f>
        <v/>
      </c>
      <c r="O12" s="29">
        <f>O4*Premissas!$B$3</f>
        <v/>
      </c>
      <c r="P12" s="29">
        <f>P4*Premissas!$B$3</f>
        <v/>
      </c>
      <c r="Q12" s="29">
        <f>Q4*Premissas!$B$3</f>
        <v/>
      </c>
      <c r="R12" s="29">
        <f>R4*Premissas!$B$3</f>
        <v/>
      </c>
      <c r="S12" s="29">
        <f>S4*Premissas!$B$3</f>
        <v/>
      </c>
    </row>
    <row r="13">
      <c r="A13" t="inlineStr">
        <is>
          <t>Mensalidade recebida (líq. de inadimplência)</t>
        </is>
      </c>
      <c r="B13" s="29" t="n">
        <v>0</v>
      </c>
      <c r="C13" s="29" t="n">
        <v>0</v>
      </c>
      <c r="D13" s="29">
        <f>C7*Premissas!$B$2*(1-Premissas!$B$9)</f>
        <v/>
      </c>
      <c r="E13" s="29">
        <f>D7*Premissas!$B$2*(1-Premissas!$B$9)</f>
        <v/>
      </c>
      <c r="F13" s="29">
        <f>E7*Premissas!$B$2*(1-Premissas!$B$9)</f>
        <v/>
      </c>
      <c r="G13" s="29">
        <f>F7*Premissas!$B$2*(1-Premissas!$B$9)</f>
        <v/>
      </c>
      <c r="H13" s="29">
        <f>G7*Premissas!$B$2*(1-Premissas!$B$9)</f>
        <v/>
      </c>
      <c r="I13" s="29">
        <f>H7*Premissas!$B$2*(1-Premissas!$B$9)</f>
        <v/>
      </c>
      <c r="J13" s="29">
        <f>I7*Premissas!$B$2*(1-Premissas!$B$9)</f>
        <v/>
      </c>
      <c r="K13" s="29">
        <f>J7*Premissas!$B$2*(1-Premissas!$B$9)</f>
        <v/>
      </c>
      <c r="L13" s="29">
        <f>K7*Premissas!$B$2*(1-Premissas!$B$9)</f>
        <v/>
      </c>
      <c r="M13" s="29">
        <f>L7*Premissas!$B$2*(1-Premissas!$B$9)</f>
        <v/>
      </c>
      <c r="N13" s="29">
        <f>M7*Premissas!$B$2*(1-Premissas!$B$9)</f>
        <v/>
      </c>
      <c r="O13" s="29">
        <f>N7*Premissas!$B$2*(1-Premissas!$B$9)</f>
        <v/>
      </c>
      <c r="P13" s="29">
        <f>O7*Premissas!$B$2*(1-Premissas!$B$9)</f>
        <v/>
      </c>
      <c r="Q13" s="29">
        <f>P7*Premissas!$B$2*(1-Premissas!$B$9)</f>
        <v/>
      </c>
      <c r="R13" s="29">
        <f>Q7*Premissas!$B$2*(1-Premissas!$B$9)</f>
        <v/>
      </c>
      <c r="S13" s="29">
        <f>R7*Premissas!$B$2*(1-Premissas!$B$9)</f>
        <v/>
      </c>
    </row>
    <row r="14">
      <c r="A14" t="inlineStr">
        <is>
          <t>Material antecipado no cartão</t>
        </is>
      </c>
      <c r="B14" s="29">
        <f>B4*Premissas!$B$5</f>
        <v/>
      </c>
      <c r="C14" s="29">
        <f>C4*Premissas!$B$5</f>
        <v/>
      </c>
      <c r="D14" s="29">
        <f>D4*Premissas!$B$5</f>
        <v/>
      </c>
      <c r="E14" s="29">
        <f>E4*Premissas!$B$5</f>
        <v/>
      </c>
      <c r="F14" s="29">
        <f>F4*Premissas!$B$5</f>
        <v/>
      </c>
      <c r="G14" s="29">
        <f>G4*Premissas!$B$5</f>
        <v/>
      </c>
      <c r="H14" s="29">
        <f>H4*Premissas!$B$5</f>
        <v/>
      </c>
      <c r="I14" s="29">
        <f>I4*Premissas!$B$5</f>
        <v/>
      </c>
      <c r="J14" s="29">
        <f>J4*Premissas!$B$5</f>
        <v/>
      </c>
      <c r="K14" s="29">
        <f>K4*Premissas!$B$5</f>
        <v/>
      </c>
      <c r="L14" s="29">
        <f>L4*Premissas!$B$5</f>
        <v/>
      </c>
      <c r="M14" s="29">
        <f>M4*Premissas!$B$5</f>
        <v/>
      </c>
      <c r="N14" s="29">
        <f>N4*Premissas!$B$5</f>
        <v/>
      </c>
      <c r="O14" s="29">
        <f>O4*Premissas!$B$5</f>
        <v/>
      </c>
      <c r="P14" s="29">
        <f>P4*Premissas!$B$5</f>
        <v/>
      </c>
      <c r="Q14" s="29">
        <f>Q4*Premissas!$B$5</f>
        <v/>
      </c>
      <c r="R14" s="29">
        <f>R4*Premissas!$B$5</f>
        <v/>
      </c>
      <c r="S14" s="29">
        <f>S4*Premissas!$B$5</f>
        <v/>
      </c>
    </row>
    <row r="15">
      <c r="A15" s="42" t="inlineStr">
        <is>
          <t>Receita recebida</t>
        </is>
      </c>
      <c r="B15" s="24">
        <f>SUM(B12:B14)</f>
        <v/>
      </c>
      <c r="C15" s="24">
        <f>SUM(C12:C14)</f>
        <v/>
      </c>
      <c r="D15" s="24">
        <f>SUM(D12:D14)</f>
        <v/>
      </c>
      <c r="E15" s="24">
        <f>SUM(E12:E14)</f>
        <v/>
      </c>
      <c r="F15" s="24">
        <f>SUM(F12:F14)</f>
        <v/>
      </c>
      <c r="G15" s="24">
        <f>SUM(G12:G14)</f>
        <v/>
      </c>
      <c r="H15" s="24">
        <f>SUM(H12:H14)</f>
        <v/>
      </c>
      <c r="I15" s="24">
        <f>SUM(I12:I14)</f>
        <v/>
      </c>
      <c r="J15" s="24">
        <f>SUM(J12:J14)</f>
        <v/>
      </c>
      <c r="K15" s="24">
        <f>SUM(K12:K14)</f>
        <v/>
      </c>
      <c r="L15" s="24">
        <f>SUM(L12:L14)</f>
        <v/>
      </c>
      <c r="M15" s="24">
        <f>SUM(M12:M14)</f>
        <v/>
      </c>
      <c r="N15" s="24">
        <f>SUM(N12:N14)</f>
        <v/>
      </c>
      <c r="O15" s="24">
        <f>SUM(O12:O14)</f>
        <v/>
      </c>
      <c r="P15" s="24">
        <f>SUM(P12:P14)</f>
        <v/>
      </c>
      <c r="Q15" s="24">
        <f>SUM(Q12:Q14)</f>
        <v/>
      </c>
      <c r="R15" s="24">
        <f>SUM(R12:R14)</f>
        <v/>
      </c>
      <c r="S15" s="24">
        <f>SUM(S12:S14)</f>
        <v/>
      </c>
    </row>
    <row r="17">
      <c r="A17" s="8" t="inlineStr">
        <is>
          <t>BASE DO SIMPLES NACIONAL</t>
        </is>
      </c>
    </row>
    <row r="18">
      <c r="A18" t="inlineStr">
        <is>
          <t>Faturamento do mês (nota emitida)</t>
        </is>
      </c>
      <c r="B18" s="29">
        <f>B4*Premissas!$B$3+B4*Premissas!$B$4</f>
        <v/>
      </c>
      <c r="C18" s="29">
        <f>C4*Premissas!$B$3+C4*Premissas!$B$4</f>
        <v/>
      </c>
      <c r="D18" s="29">
        <f>D4*Premissas!$B$3+C7*Premissas!$B$2+D4*Premissas!$B$4</f>
        <v/>
      </c>
      <c r="E18" s="29">
        <f>E4*Premissas!$B$3+D7*Premissas!$B$2+E4*Premissas!$B$4</f>
        <v/>
      </c>
      <c r="F18" s="29">
        <f>F4*Premissas!$B$3+E7*Premissas!$B$2+F4*Premissas!$B$4</f>
        <v/>
      </c>
      <c r="G18" s="29">
        <f>G4*Premissas!$B$3+F7*Premissas!$B$2+G4*Premissas!$B$4</f>
        <v/>
      </c>
      <c r="H18" s="29">
        <f>H4*Premissas!$B$3+G7*Premissas!$B$2+H4*Premissas!$B$4</f>
        <v/>
      </c>
      <c r="I18" s="29">
        <f>I4*Premissas!$B$3+H7*Premissas!$B$2+I4*Premissas!$B$4</f>
        <v/>
      </c>
      <c r="J18" s="29">
        <f>J4*Premissas!$B$3+I7*Premissas!$B$2+J4*Premissas!$B$4</f>
        <v/>
      </c>
      <c r="K18" s="29">
        <f>K4*Premissas!$B$3+J7*Premissas!$B$2+K4*Premissas!$B$4</f>
        <v/>
      </c>
      <c r="L18" s="29">
        <f>L4*Premissas!$B$3+K7*Premissas!$B$2+L4*Premissas!$B$4</f>
        <v/>
      </c>
      <c r="M18" s="29">
        <f>M4*Premissas!$B$3+L7*Premissas!$B$2+M4*Premissas!$B$4</f>
        <v/>
      </c>
      <c r="N18" s="29">
        <f>N4*Premissas!$B$3+M7*Premissas!$B$2+N4*Premissas!$B$4</f>
        <v/>
      </c>
      <c r="O18" s="29">
        <f>O4*Premissas!$B$3+N7*Premissas!$B$2+O4*Premissas!$B$4</f>
        <v/>
      </c>
      <c r="P18" s="29">
        <f>P4*Premissas!$B$3+O7*Premissas!$B$2+P4*Premissas!$B$4</f>
        <v/>
      </c>
      <c r="Q18" s="29">
        <f>Q4*Premissas!$B$3+P7*Premissas!$B$2+Q4*Premissas!$B$4</f>
        <v/>
      </c>
      <c r="R18" s="29">
        <f>R4*Premissas!$B$3+Q7*Premissas!$B$2+R4*Premissas!$B$4</f>
        <v/>
      </c>
      <c r="S18" s="29">
        <f>S4*Premissas!$B$3+R7*Premissas!$B$2+S4*Premissas!$B$4</f>
        <v/>
      </c>
    </row>
    <row r="19">
      <c r="A19" t="inlineStr">
        <is>
          <t>RBT12 proporcionalizado</t>
        </is>
      </c>
      <c r="B19" s="29">
        <f>SUM($B$18:B18)/1*12</f>
        <v/>
      </c>
      <c r="C19" s="29">
        <f>SUM($B$18:C18)/2*12</f>
        <v/>
      </c>
      <c r="D19" s="29">
        <f>SUM($B$18:D18)/3*12</f>
        <v/>
      </c>
      <c r="E19" s="29">
        <f>SUM($B$18:E18)/4*12</f>
        <v/>
      </c>
      <c r="F19" s="29">
        <f>SUM($B$18:F18)/5*12</f>
        <v/>
      </c>
      <c r="G19" s="29">
        <f>SUM($B$18:G18)/6*12</f>
        <v/>
      </c>
      <c r="H19" s="29">
        <f>SUM($B$18:H18)/7*12</f>
        <v/>
      </c>
      <c r="I19" s="29">
        <f>SUM($B$18:I18)/8*12</f>
        <v/>
      </c>
      <c r="J19" s="29">
        <f>SUM($B$18:J18)/9*12</f>
        <v/>
      </c>
      <c r="K19" s="29">
        <f>SUM($B$18:K18)/10*12</f>
        <v/>
      </c>
      <c r="L19" s="29">
        <f>SUM($B$18:L18)/11*12</f>
        <v/>
      </c>
      <c r="M19" s="29">
        <f>SUM(B18:M18)</f>
        <v/>
      </c>
      <c r="N19" s="29">
        <f>SUM(C18:N18)</f>
        <v/>
      </c>
      <c r="O19" s="29">
        <f>SUM(D18:O18)</f>
        <v/>
      </c>
      <c r="P19" s="29">
        <f>SUM(E18:P18)</f>
        <v/>
      </c>
      <c r="Q19" s="29">
        <f>SUM(F18:Q18)</f>
        <v/>
      </c>
      <c r="R19" s="29">
        <f>SUM(G18:R18)</f>
        <v/>
      </c>
      <c r="S19" s="29">
        <f>SUM(H18:S18)</f>
        <v/>
      </c>
    </row>
    <row r="20">
      <c r="A20" s="14" t="inlineStr">
        <is>
          <t>Alíquota efetiva do Simples</t>
        </is>
      </c>
      <c r="B20" s="43">
        <f>IF(B19=0,Premissas!$C$66,IF(B19&lt;=Premissas!$B$66,(B19*Premissas!$C$66-Premissas!$D$66)/B19,IF(B19&lt;=Premissas!$B$67,(B19*Premissas!$C$67-Premissas!$D$67)/B19,IF(B19&lt;=Premissas!$B$68,(B19*Premissas!$C$68-Premissas!$D$68)/B19,IF(B19&lt;=Premissas!$B$69,(B19*Premissas!$C$69-Premissas!$D$69)/B19,IF(B19&lt;=Premissas!$B$70,(B19*Premissas!$C$70-Premissas!$D$70)/B19,(B19*Premissas!$C$71-Premissas!$D$71)/B19))))))</f>
        <v/>
      </c>
      <c r="C20" s="43">
        <f>IF(C19=0,Premissas!$C$66,IF(C19&lt;=Premissas!$B$66,(C19*Premissas!$C$66-Premissas!$D$66)/C19,IF(C19&lt;=Premissas!$B$67,(C19*Premissas!$C$67-Premissas!$D$67)/C19,IF(C19&lt;=Premissas!$B$68,(C19*Premissas!$C$68-Premissas!$D$68)/C19,IF(C19&lt;=Premissas!$B$69,(C19*Premissas!$C$69-Premissas!$D$69)/C19,IF(C19&lt;=Premissas!$B$70,(C19*Premissas!$C$70-Premissas!$D$70)/C19,(C19*Premissas!$C$71-Premissas!$D$71)/C19))))))</f>
        <v/>
      </c>
      <c r="D20" s="43">
        <f>IF(D19=0,Premissas!$C$66,IF(D19&lt;=Premissas!$B$66,(D19*Premissas!$C$66-Premissas!$D$66)/D19,IF(D19&lt;=Premissas!$B$67,(D19*Premissas!$C$67-Premissas!$D$67)/D19,IF(D19&lt;=Premissas!$B$68,(D19*Premissas!$C$68-Premissas!$D$68)/D19,IF(D19&lt;=Premissas!$B$69,(D19*Premissas!$C$69-Premissas!$D$69)/D19,IF(D19&lt;=Premissas!$B$70,(D19*Premissas!$C$70-Premissas!$D$70)/D19,(D19*Premissas!$C$71-Premissas!$D$71)/D19))))))</f>
        <v/>
      </c>
      <c r="E20" s="43">
        <f>IF(E19=0,Premissas!$C$66,IF(E19&lt;=Premissas!$B$66,(E19*Premissas!$C$66-Premissas!$D$66)/E19,IF(E19&lt;=Premissas!$B$67,(E19*Premissas!$C$67-Premissas!$D$67)/E19,IF(E19&lt;=Premissas!$B$68,(E19*Premissas!$C$68-Premissas!$D$68)/E19,IF(E19&lt;=Premissas!$B$69,(E19*Premissas!$C$69-Premissas!$D$69)/E19,IF(E19&lt;=Premissas!$B$70,(E19*Premissas!$C$70-Premissas!$D$70)/E19,(E19*Premissas!$C$71-Premissas!$D$71)/E19))))))</f>
        <v/>
      </c>
      <c r="F20" s="43">
        <f>IF(F19=0,Premissas!$C$66,IF(F19&lt;=Premissas!$B$66,(F19*Premissas!$C$66-Premissas!$D$66)/F19,IF(F19&lt;=Premissas!$B$67,(F19*Premissas!$C$67-Premissas!$D$67)/F19,IF(F19&lt;=Premissas!$B$68,(F19*Premissas!$C$68-Premissas!$D$68)/F19,IF(F19&lt;=Premissas!$B$69,(F19*Premissas!$C$69-Premissas!$D$69)/F19,IF(F19&lt;=Premissas!$B$70,(F19*Premissas!$C$70-Premissas!$D$70)/F19,(F19*Premissas!$C$71-Premissas!$D$71)/F19))))))</f>
        <v/>
      </c>
      <c r="G20" s="43">
        <f>IF(G19=0,Premissas!$C$66,IF(G19&lt;=Premissas!$B$66,(G19*Premissas!$C$66-Premissas!$D$66)/G19,IF(G19&lt;=Premissas!$B$67,(G19*Premissas!$C$67-Premissas!$D$67)/G19,IF(G19&lt;=Premissas!$B$68,(G19*Premissas!$C$68-Premissas!$D$68)/G19,IF(G19&lt;=Premissas!$B$69,(G19*Premissas!$C$69-Premissas!$D$69)/G19,IF(G19&lt;=Premissas!$B$70,(G19*Premissas!$C$70-Premissas!$D$70)/G19,(G19*Premissas!$C$71-Premissas!$D$71)/G19))))))</f>
        <v/>
      </c>
      <c r="H20" s="43">
        <f>IF(H19=0,Premissas!$C$66,IF(H19&lt;=Premissas!$B$66,(H19*Premissas!$C$66-Premissas!$D$66)/H19,IF(H19&lt;=Premissas!$B$67,(H19*Premissas!$C$67-Premissas!$D$67)/H19,IF(H19&lt;=Premissas!$B$68,(H19*Premissas!$C$68-Premissas!$D$68)/H19,IF(H19&lt;=Premissas!$B$69,(H19*Premissas!$C$69-Premissas!$D$69)/H19,IF(H19&lt;=Premissas!$B$70,(H19*Premissas!$C$70-Premissas!$D$70)/H19,(H19*Premissas!$C$71-Premissas!$D$71)/H19))))))</f>
        <v/>
      </c>
      <c r="I20" s="43">
        <f>IF(I19=0,Premissas!$C$66,IF(I19&lt;=Premissas!$B$66,(I19*Premissas!$C$66-Premissas!$D$66)/I19,IF(I19&lt;=Premissas!$B$67,(I19*Premissas!$C$67-Premissas!$D$67)/I19,IF(I19&lt;=Premissas!$B$68,(I19*Premissas!$C$68-Premissas!$D$68)/I19,IF(I19&lt;=Premissas!$B$69,(I19*Premissas!$C$69-Premissas!$D$69)/I19,IF(I19&lt;=Premissas!$B$70,(I19*Premissas!$C$70-Premissas!$D$70)/I19,(I19*Premissas!$C$71-Premissas!$D$71)/I19))))))</f>
        <v/>
      </c>
      <c r="J20" s="43">
        <f>IF(J19=0,Premissas!$C$66,IF(J19&lt;=Premissas!$B$66,(J19*Premissas!$C$66-Premissas!$D$66)/J19,IF(J19&lt;=Premissas!$B$67,(J19*Premissas!$C$67-Premissas!$D$67)/J19,IF(J19&lt;=Premissas!$B$68,(J19*Premissas!$C$68-Premissas!$D$68)/J19,IF(J19&lt;=Premissas!$B$69,(J19*Premissas!$C$69-Premissas!$D$69)/J19,IF(J19&lt;=Premissas!$B$70,(J19*Premissas!$C$70-Premissas!$D$70)/J19,(J19*Premissas!$C$71-Premissas!$D$71)/J19))))))</f>
        <v/>
      </c>
      <c r="K20" s="43">
        <f>IF(K19=0,Premissas!$C$66,IF(K19&lt;=Premissas!$B$66,(K19*Premissas!$C$66-Premissas!$D$66)/K19,IF(K19&lt;=Premissas!$B$67,(K19*Premissas!$C$67-Premissas!$D$67)/K19,IF(K19&lt;=Premissas!$B$68,(K19*Premissas!$C$68-Premissas!$D$68)/K19,IF(K19&lt;=Premissas!$B$69,(K19*Premissas!$C$69-Premissas!$D$69)/K19,IF(K19&lt;=Premissas!$B$70,(K19*Premissas!$C$70-Premissas!$D$70)/K19,(K19*Premissas!$C$71-Premissas!$D$71)/K19))))))</f>
        <v/>
      </c>
      <c r="L20" s="43">
        <f>IF(L19=0,Premissas!$C$66,IF(L19&lt;=Premissas!$B$66,(L19*Premissas!$C$66-Premissas!$D$66)/L19,IF(L19&lt;=Premissas!$B$67,(L19*Premissas!$C$67-Premissas!$D$67)/L19,IF(L19&lt;=Premissas!$B$68,(L19*Premissas!$C$68-Premissas!$D$68)/L19,IF(L19&lt;=Premissas!$B$69,(L19*Premissas!$C$69-Premissas!$D$69)/L19,IF(L19&lt;=Premissas!$B$70,(L19*Premissas!$C$70-Premissas!$D$70)/L19,(L19*Premissas!$C$71-Premissas!$D$71)/L19))))))</f>
        <v/>
      </c>
      <c r="M20" s="43">
        <f>IF(M19=0,Premissas!$C$66,IF(M19&lt;=Premissas!$B$66,(M19*Premissas!$C$66-Premissas!$D$66)/M19,IF(M19&lt;=Premissas!$B$67,(M19*Premissas!$C$67-Premissas!$D$67)/M19,IF(M19&lt;=Premissas!$B$68,(M19*Premissas!$C$68-Premissas!$D$68)/M19,IF(M19&lt;=Premissas!$B$69,(M19*Premissas!$C$69-Premissas!$D$69)/M19,IF(M19&lt;=Premissas!$B$70,(M19*Premissas!$C$70-Premissas!$D$70)/M19,(M19*Premissas!$C$71-Premissas!$D$71)/M19))))))</f>
        <v/>
      </c>
      <c r="N20" s="43">
        <f>IF(N19=0,Premissas!$C$66,IF(N19&lt;=Premissas!$B$66,(N19*Premissas!$C$66-Premissas!$D$66)/N19,IF(N19&lt;=Premissas!$B$67,(N19*Premissas!$C$67-Premissas!$D$67)/N19,IF(N19&lt;=Premissas!$B$68,(N19*Premissas!$C$68-Premissas!$D$68)/N19,IF(N19&lt;=Premissas!$B$69,(N19*Premissas!$C$69-Premissas!$D$69)/N19,IF(N19&lt;=Premissas!$B$70,(N19*Premissas!$C$70-Premissas!$D$70)/N19,(N19*Premissas!$C$71-Premissas!$D$71)/N19))))))</f>
        <v/>
      </c>
      <c r="O20" s="43">
        <f>IF(O19=0,Premissas!$C$66,IF(O19&lt;=Premissas!$B$66,(O19*Premissas!$C$66-Premissas!$D$66)/O19,IF(O19&lt;=Premissas!$B$67,(O19*Premissas!$C$67-Premissas!$D$67)/O19,IF(O19&lt;=Premissas!$B$68,(O19*Premissas!$C$68-Premissas!$D$68)/O19,IF(O19&lt;=Premissas!$B$69,(O19*Premissas!$C$69-Premissas!$D$69)/O19,IF(O19&lt;=Premissas!$B$70,(O19*Premissas!$C$70-Premissas!$D$70)/O19,(O19*Premissas!$C$71-Premissas!$D$71)/O19))))))</f>
        <v/>
      </c>
      <c r="P20" s="43">
        <f>IF(P19=0,Premissas!$C$66,IF(P19&lt;=Premissas!$B$66,(P19*Premissas!$C$66-Premissas!$D$66)/P19,IF(P19&lt;=Premissas!$B$67,(P19*Premissas!$C$67-Premissas!$D$67)/P19,IF(P19&lt;=Premissas!$B$68,(P19*Premissas!$C$68-Premissas!$D$68)/P19,IF(P19&lt;=Premissas!$B$69,(P19*Premissas!$C$69-Premissas!$D$69)/P19,IF(P19&lt;=Premissas!$B$70,(P19*Premissas!$C$70-Premissas!$D$70)/P19,(P19*Premissas!$C$71-Premissas!$D$71)/P19))))))</f>
        <v/>
      </c>
      <c r="Q20" s="43">
        <f>IF(Q19=0,Premissas!$C$66,IF(Q19&lt;=Premissas!$B$66,(Q19*Premissas!$C$66-Premissas!$D$66)/Q19,IF(Q19&lt;=Premissas!$B$67,(Q19*Premissas!$C$67-Premissas!$D$67)/Q19,IF(Q19&lt;=Premissas!$B$68,(Q19*Premissas!$C$68-Premissas!$D$68)/Q19,IF(Q19&lt;=Premissas!$B$69,(Q19*Premissas!$C$69-Premissas!$D$69)/Q19,IF(Q19&lt;=Premissas!$B$70,(Q19*Premissas!$C$70-Premissas!$D$70)/Q19,(Q19*Premissas!$C$71-Premissas!$D$71)/Q19))))))</f>
        <v/>
      </c>
      <c r="R20" s="43">
        <f>IF(R19=0,Premissas!$C$66,IF(R19&lt;=Premissas!$B$66,(R19*Premissas!$C$66-Premissas!$D$66)/R19,IF(R19&lt;=Premissas!$B$67,(R19*Premissas!$C$67-Premissas!$D$67)/R19,IF(R19&lt;=Premissas!$B$68,(R19*Premissas!$C$68-Premissas!$D$68)/R19,IF(R19&lt;=Premissas!$B$69,(R19*Premissas!$C$69-Premissas!$D$69)/R19,IF(R19&lt;=Premissas!$B$70,(R19*Premissas!$C$70-Premissas!$D$70)/R19,(R19*Premissas!$C$71-Premissas!$D$71)/R19))))))</f>
        <v/>
      </c>
      <c r="S20" s="43">
        <f>IF(S19=0,Premissas!$C$66,IF(S19&lt;=Premissas!$B$66,(S19*Premissas!$C$66-Premissas!$D$66)/S19,IF(S19&lt;=Premissas!$B$67,(S19*Premissas!$C$67-Premissas!$D$67)/S19,IF(S19&lt;=Premissas!$B$68,(S19*Premissas!$C$68-Premissas!$D$68)/S19,IF(S19&lt;=Premissas!$B$69,(S19*Premissas!$C$69-Premissas!$D$69)/S19,IF(S19&lt;=Premissas!$B$70,(S19*Premissas!$C$70-Premissas!$D$70)/S19,(S19*Premissas!$C$71-Premissas!$D$71)/S19))))))</f>
        <v/>
      </c>
    </row>
    <row r="22">
      <c r="A22" s="8" t="inlineStr">
        <is>
          <t>DESPESAS</t>
        </is>
      </c>
    </row>
    <row r="23">
      <c r="A23" t="inlineStr">
        <is>
          <t>Impostos (Simples progressivo)</t>
        </is>
      </c>
      <c r="B23" s="29">
        <f>B18*B20</f>
        <v/>
      </c>
      <c r="C23" s="29">
        <f>C18*C20</f>
        <v/>
      </c>
      <c r="D23" s="29">
        <f>D18*D20</f>
        <v/>
      </c>
      <c r="E23" s="29">
        <f>E18*E20</f>
        <v/>
      </c>
      <c r="F23" s="29">
        <f>F18*F20</f>
        <v/>
      </c>
      <c r="G23" s="29">
        <f>G18*G20</f>
        <v/>
      </c>
      <c r="H23" s="29">
        <f>H18*H20</f>
        <v/>
      </c>
      <c r="I23" s="29">
        <f>I18*I20</f>
        <v/>
      </c>
      <c r="J23" s="29">
        <f>J18*J20</f>
        <v/>
      </c>
      <c r="K23" s="29">
        <f>K18*K20</f>
        <v/>
      </c>
      <c r="L23" s="29">
        <f>L18*L20</f>
        <v/>
      </c>
      <c r="M23" s="29">
        <f>M18*M20</f>
        <v/>
      </c>
      <c r="N23" s="29">
        <f>N18*N20</f>
        <v/>
      </c>
      <c r="O23" s="29">
        <f>O18*O20</f>
        <v/>
      </c>
      <c r="P23" s="29">
        <f>P18*P20</f>
        <v/>
      </c>
      <c r="Q23" s="29">
        <f>Q18*Q20</f>
        <v/>
      </c>
      <c r="R23" s="29">
        <f>R18*R20</f>
        <v/>
      </c>
      <c r="S23" s="29">
        <f>S18*S20</f>
        <v/>
      </c>
    </row>
    <row r="24">
      <c r="A24" t="inlineStr">
        <is>
          <t>Material — parcelas 12x</t>
        </is>
      </c>
      <c r="B24" s="29" t="n">
        <v>0</v>
      </c>
      <c r="C24" s="29" t="n">
        <v>0</v>
      </c>
      <c r="D24" s="29">
        <f>SUM($B$4:D4)*Premissas!$B$6/12</f>
        <v/>
      </c>
      <c r="E24" s="29">
        <f>SUM($B$4:E4)*Premissas!$B$6/12</f>
        <v/>
      </c>
      <c r="F24" s="29">
        <f>SUM($B$4:F4)*Premissas!$B$6/12</f>
        <v/>
      </c>
      <c r="G24" s="29">
        <f>SUM($B$4:G4)*Premissas!$B$6/12</f>
        <v/>
      </c>
      <c r="H24" s="29">
        <f>SUM($B$4:H4)*Premissas!$B$6/12</f>
        <v/>
      </c>
      <c r="I24" s="29">
        <f>SUM($B$4:I4)*Premissas!$B$6/12</f>
        <v/>
      </c>
      <c r="J24" s="29">
        <f>SUM($B$4:J4)*Premissas!$B$6/12</f>
        <v/>
      </c>
      <c r="K24" s="29">
        <f>SUM($B$4:K4)*Premissas!$B$6/12</f>
        <v/>
      </c>
      <c r="L24" s="29">
        <f>SUM($B$4:L4)*Premissas!$B$6/12</f>
        <v/>
      </c>
      <c r="M24" s="29">
        <f>SUM($B$4:M4)*Premissas!$B$6/12</f>
        <v/>
      </c>
      <c r="N24" s="29">
        <f>SUM($B$4:N4)*Premissas!$B$6/12</f>
        <v/>
      </c>
      <c r="O24" s="29">
        <f>SUM($B$4:O4)*Premissas!$B$6/12</f>
        <v/>
      </c>
      <c r="P24" s="29">
        <f>SUM(E4:P4)*Premissas!$B$6/12</f>
        <v/>
      </c>
      <c r="Q24" s="29">
        <f>SUM(F4:Q4)*Premissas!$B$6/12</f>
        <v/>
      </c>
      <c r="R24" s="29">
        <f>SUM(G4:R4)*Premissas!$B$6/12</f>
        <v/>
      </c>
      <c r="S24" s="29">
        <f>SUM(H4:S4)*Premissas!$B$6/12</f>
        <v/>
      </c>
    </row>
    <row r="25">
      <c r="A25" t="inlineStr">
        <is>
          <t>Comissão do vendedor</t>
        </is>
      </c>
      <c r="B25" s="29">
        <f>IF(B2&gt;=Premissas!$D$14,B4*Premissas!$B$10*(1+Premissas!$B$11),0)</f>
        <v/>
      </c>
      <c r="C25" s="29">
        <f>IF(C2&gt;=Premissas!$D$14,C4*Premissas!$B$10*(1+Premissas!$B$11),0)</f>
        <v/>
      </c>
      <c r="D25" s="29">
        <f>IF(D2&gt;=Premissas!$D$14,D4*Premissas!$B$10*(1+Premissas!$B$11),0)</f>
        <v/>
      </c>
      <c r="E25" s="29">
        <f>IF(E2&gt;=Premissas!$D$14,E4*Premissas!$B$10*(1+Premissas!$B$11),0)</f>
        <v/>
      </c>
      <c r="F25" s="29">
        <f>IF(F2&gt;=Premissas!$D$14,F4*Premissas!$B$10*(1+Premissas!$B$11),0)</f>
        <v/>
      </c>
      <c r="G25" s="29">
        <f>IF(G2&gt;=Premissas!$D$14,G4*Premissas!$B$10*(1+Premissas!$B$11),0)</f>
        <v/>
      </c>
      <c r="H25" s="29">
        <f>IF(H2&gt;=Premissas!$D$14,H4*Premissas!$B$10*(1+Premissas!$B$11),0)</f>
        <v/>
      </c>
      <c r="I25" s="29">
        <f>IF(I2&gt;=Premissas!$D$14,I4*Premissas!$B$10*(1+Premissas!$B$11),0)</f>
        <v/>
      </c>
      <c r="J25" s="29">
        <f>IF(J2&gt;=Premissas!$D$14,J4*Premissas!$B$10*(1+Premissas!$B$11),0)</f>
        <v/>
      </c>
      <c r="K25" s="29">
        <f>IF(K2&gt;=Premissas!$D$14,K4*Premissas!$B$10*(1+Premissas!$B$11),0)</f>
        <v/>
      </c>
      <c r="L25" s="29">
        <f>IF(L2&gt;=Premissas!$D$14,L4*Premissas!$B$10*(1+Premissas!$B$11),0)</f>
        <v/>
      </c>
      <c r="M25" s="29">
        <f>IF(M2&gt;=Premissas!$D$14,M4*Premissas!$B$10*(1+Premissas!$B$11),0)</f>
        <v/>
      </c>
      <c r="N25" s="29">
        <f>IF(N2&gt;=Premissas!$D$14,N4*Premissas!$B$10*(1+Premissas!$B$11),0)</f>
        <v/>
      </c>
      <c r="O25" s="29">
        <f>IF(O2&gt;=Premissas!$D$14,O4*Premissas!$B$10*(1+Premissas!$B$11),0)</f>
        <v/>
      </c>
      <c r="P25" s="29">
        <f>IF(P2&gt;=Premissas!$D$14,P4*Premissas!$B$10*(1+Premissas!$B$11),0)</f>
        <v/>
      </c>
      <c r="Q25" s="29">
        <f>IF(Q2&gt;=Premissas!$D$14,Q4*Premissas!$B$10*(1+Premissas!$B$11),0)</f>
        <v/>
      </c>
      <c r="R25" s="29">
        <f>IF(R2&gt;=Premissas!$D$14,R4*Premissas!$B$10*(1+Premissas!$B$11),0)</f>
        <v/>
      </c>
      <c r="S25" s="29">
        <f>IF(S2&gt;=Premissas!$D$14,S4*Premissas!$B$10*(1+Premissas!$B$11),0)</f>
        <v/>
      </c>
    </row>
    <row r="26">
      <c r="A26" t="inlineStr">
        <is>
          <t>Aquisição de alunos (custo dos canais)</t>
        </is>
      </c>
      <c r="B26" s="29">
        <f>'Canais de aquisição'!C$10</f>
        <v/>
      </c>
      <c r="C26" s="29">
        <f>'Canais de aquisição'!D$10</f>
        <v/>
      </c>
      <c r="D26" s="29">
        <f>'Canais de aquisição'!E$10</f>
        <v/>
      </c>
      <c r="E26" s="29">
        <f>'Canais de aquisição'!F$10</f>
        <v/>
      </c>
      <c r="F26" s="29">
        <f>'Canais de aquisição'!G$10</f>
        <v/>
      </c>
      <c r="G26" s="29">
        <f>'Canais de aquisição'!H$10</f>
        <v/>
      </c>
      <c r="H26" s="29">
        <f>'Canais de aquisição'!I$10</f>
        <v/>
      </c>
      <c r="I26" s="29">
        <f>'Canais de aquisição'!J$10</f>
        <v/>
      </c>
      <c r="J26" s="29">
        <f>'Canais de aquisição'!K$10</f>
        <v/>
      </c>
      <c r="K26" s="29">
        <f>'Canais de aquisição'!L$10</f>
        <v/>
      </c>
      <c r="L26" s="29">
        <f>'Canais de aquisição'!M$10</f>
        <v/>
      </c>
      <c r="M26" s="29">
        <f>'Canais de aquisição'!N$10</f>
        <v/>
      </c>
      <c r="N26" s="29">
        <f>'Canais de aquisição'!O$10</f>
        <v/>
      </c>
      <c r="O26" s="29">
        <f>'Canais de aquisição'!P$10</f>
        <v/>
      </c>
      <c r="P26" s="29">
        <f>'Canais de aquisição'!Q$10</f>
        <v/>
      </c>
      <c r="Q26" s="29">
        <f>'Canais de aquisição'!R$10</f>
        <v/>
      </c>
      <c r="R26" s="29">
        <f>'Canais de aquisição'!S$10</f>
        <v/>
      </c>
      <c r="S26" s="29">
        <f>'Canais de aquisição'!T$10</f>
        <v/>
      </c>
    </row>
    <row r="27">
      <c r="A27" t="inlineStr">
        <is>
          <t>Folha + encargos mensais (só quem já entrou)</t>
        </is>
      </c>
      <c r="B27" s="29">
        <f>SUMPRODUCT((Premissas!$D$14:$D$20&lt;=B2)*Premissas!$B$14:$B$20*(1+Premissas!$C$14:$C$20*Premissas!$B$11))</f>
        <v/>
      </c>
      <c r="C27" s="29">
        <f>SUMPRODUCT((Premissas!$D$14:$D$20&lt;=C2)*Premissas!$B$14:$B$20*(1+Premissas!$C$14:$C$20*Premissas!$B$11))</f>
        <v/>
      </c>
      <c r="D27" s="29">
        <f>SUMPRODUCT((Premissas!$D$14:$D$20&lt;=D2)*Premissas!$B$14:$B$20*(1+Premissas!$C$14:$C$20*Premissas!$B$11))</f>
        <v/>
      </c>
      <c r="E27" s="29">
        <f>SUMPRODUCT((Premissas!$D$14:$D$20&lt;=E2)*Premissas!$B$14:$B$20*(1+Premissas!$C$14:$C$20*Premissas!$B$11))</f>
        <v/>
      </c>
      <c r="F27" s="29">
        <f>SUMPRODUCT((Premissas!$D$14:$D$20&lt;=F2)*Premissas!$B$14:$B$20*(1+Premissas!$C$14:$C$20*Premissas!$B$11))</f>
        <v/>
      </c>
      <c r="G27" s="29">
        <f>SUMPRODUCT((Premissas!$D$14:$D$20&lt;=G2)*Premissas!$B$14:$B$20*(1+Premissas!$C$14:$C$20*Premissas!$B$11))</f>
        <v/>
      </c>
      <c r="H27" s="29">
        <f>SUMPRODUCT((Premissas!$D$14:$D$20&lt;=H2)*Premissas!$B$14:$B$20*(1+Premissas!$C$14:$C$20*Premissas!$B$11))</f>
        <v/>
      </c>
      <c r="I27" s="29">
        <f>SUMPRODUCT((Premissas!$D$14:$D$20&lt;=I2)*Premissas!$B$14:$B$20*(1+Premissas!$C$14:$C$20*Premissas!$B$11))</f>
        <v/>
      </c>
      <c r="J27" s="29">
        <f>SUMPRODUCT((Premissas!$D$14:$D$20&lt;=J2)*Premissas!$B$14:$B$20*(1+Premissas!$C$14:$C$20*Premissas!$B$11))</f>
        <v/>
      </c>
      <c r="K27" s="29">
        <f>SUMPRODUCT((Premissas!$D$14:$D$20&lt;=K2)*Premissas!$B$14:$B$20*(1+Premissas!$C$14:$C$20*Premissas!$B$11))</f>
        <v/>
      </c>
      <c r="L27" s="29">
        <f>SUMPRODUCT((Premissas!$D$14:$D$20&lt;=L2)*Premissas!$B$14:$B$20*(1+Premissas!$C$14:$C$20*Premissas!$B$11))</f>
        <v/>
      </c>
      <c r="M27" s="29">
        <f>SUMPRODUCT((Premissas!$D$14:$D$20&lt;=M2)*Premissas!$B$14:$B$20*(1+Premissas!$C$14:$C$20*Premissas!$B$11))</f>
        <v/>
      </c>
      <c r="N27" s="29">
        <f>SUMPRODUCT((Premissas!$D$14:$D$20&lt;=N2)*Premissas!$B$14:$B$20*(1+Premissas!$C$14:$C$20*Premissas!$B$11))</f>
        <v/>
      </c>
      <c r="O27" s="29">
        <f>SUMPRODUCT((Premissas!$D$14:$D$20&lt;=O2)*Premissas!$B$14:$B$20*(1+Premissas!$C$14:$C$20*Premissas!$B$11))</f>
        <v/>
      </c>
      <c r="P27" s="29">
        <f>SUMPRODUCT((Premissas!$D$14:$D$20&lt;=P2)*Premissas!$B$14:$B$20*(1+Premissas!$C$14:$C$20*Premissas!$B$11))</f>
        <v/>
      </c>
      <c r="Q27" s="29">
        <f>SUMPRODUCT((Premissas!$D$14:$D$20&lt;=Q2)*Premissas!$B$14:$B$20*(1+Premissas!$C$14:$C$20*Premissas!$B$11))</f>
        <v/>
      </c>
      <c r="R27" s="29">
        <f>SUMPRODUCT((Premissas!$D$14:$D$20&lt;=R2)*Premissas!$B$14:$B$20*(1+Premissas!$C$14:$C$20*Premissas!$B$11))</f>
        <v/>
      </c>
      <c r="S27" s="29">
        <f>SUMPRODUCT((Premissas!$D$14:$D$20&lt;=S2)*Premissas!$B$14:$B$20*(1+Premissas!$C$14:$C$20*Premissas!$B$11))</f>
        <v/>
      </c>
    </row>
    <row r="28">
      <c r="A28" t="inlineStr">
        <is>
          <t>Vale-transporte / benefícios</t>
        </is>
      </c>
      <c r="B28" s="29">
        <f>SUMPRODUCT((Premissas!$D$14:$D$20&lt;=B2)*Premissas!$C$14:$C$20*(Premissas!$B$14:$B$20&gt;0))*Premissas!$B$12</f>
        <v/>
      </c>
      <c r="C28" s="29">
        <f>SUMPRODUCT((Premissas!$D$14:$D$20&lt;=C2)*Premissas!$C$14:$C$20*(Premissas!$B$14:$B$20&gt;0))*Premissas!$B$12</f>
        <v/>
      </c>
      <c r="D28" s="29">
        <f>SUMPRODUCT((Premissas!$D$14:$D$20&lt;=D2)*Premissas!$C$14:$C$20*(Premissas!$B$14:$B$20&gt;0))*Premissas!$B$12</f>
        <v/>
      </c>
      <c r="E28" s="29">
        <f>SUMPRODUCT((Premissas!$D$14:$D$20&lt;=E2)*Premissas!$C$14:$C$20*(Premissas!$B$14:$B$20&gt;0))*Premissas!$B$12</f>
        <v/>
      </c>
      <c r="F28" s="29">
        <f>SUMPRODUCT((Premissas!$D$14:$D$20&lt;=F2)*Premissas!$C$14:$C$20*(Premissas!$B$14:$B$20&gt;0))*Premissas!$B$12</f>
        <v/>
      </c>
      <c r="G28" s="29">
        <f>SUMPRODUCT((Premissas!$D$14:$D$20&lt;=G2)*Premissas!$C$14:$C$20*(Premissas!$B$14:$B$20&gt;0))*Premissas!$B$12</f>
        <v/>
      </c>
      <c r="H28" s="29">
        <f>SUMPRODUCT((Premissas!$D$14:$D$20&lt;=H2)*Premissas!$C$14:$C$20*(Premissas!$B$14:$B$20&gt;0))*Premissas!$B$12</f>
        <v/>
      </c>
      <c r="I28" s="29">
        <f>SUMPRODUCT((Premissas!$D$14:$D$20&lt;=I2)*Premissas!$C$14:$C$20*(Premissas!$B$14:$B$20&gt;0))*Premissas!$B$12</f>
        <v/>
      </c>
      <c r="J28" s="29">
        <f>SUMPRODUCT((Premissas!$D$14:$D$20&lt;=J2)*Premissas!$C$14:$C$20*(Premissas!$B$14:$B$20&gt;0))*Premissas!$B$12</f>
        <v/>
      </c>
      <c r="K28" s="29">
        <f>SUMPRODUCT((Premissas!$D$14:$D$20&lt;=K2)*Premissas!$C$14:$C$20*(Premissas!$B$14:$B$20&gt;0))*Premissas!$B$12</f>
        <v/>
      </c>
      <c r="L28" s="29">
        <f>SUMPRODUCT((Premissas!$D$14:$D$20&lt;=L2)*Premissas!$C$14:$C$20*(Premissas!$B$14:$B$20&gt;0))*Premissas!$B$12</f>
        <v/>
      </c>
      <c r="M28" s="29">
        <f>SUMPRODUCT((Premissas!$D$14:$D$20&lt;=M2)*Premissas!$C$14:$C$20*(Premissas!$B$14:$B$20&gt;0))*Premissas!$B$12</f>
        <v/>
      </c>
      <c r="N28" s="29">
        <f>SUMPRODUCT((Premissas!$D$14:$D$20&lt;=N2)*Premissas!$C$14:$C$20*(Premissas!$B$14:$B$20&gt;0))*Premissas!$B$12</f>
        <v/>
      </c>
      <c r="O28" s="29">
        <f>SUMPRODUCT((Premissas!$D$14:$D$20&lt;=O2)*Premissas!$C$14:$C$20*(Premissas!$B$14:$B$20&gt;0))*Premissas!$B$12</f>
        <v/>
      </c>
      <c r="P28" s="29">
        <f>SUMPRODUCT((Premissas!$D$14:$D$20&lt;=P2)*Premissas!$C$14:$C$20*(Premissas!$B$14:$B$20&gt;0))*Premissas!$B$12</f>
        <v/>
      </c>
      <c r="Q28" s="29">
        <f>SUMPRODUCT((Premissas!$D$14:$D$20&lt;=Q2)*Premissas!$C$14:$C$20*(Premissas!$B$14:$B$20&gt;0))*Premissas!$B$12</f>
        <v/>
      </c>
      <c r="R28" s="29">
        <f>SUMPRODUCT((Premissas!$D$14:$D$20&lt;=R2)*Premissas!$C$14:$C$20*(Premissas!$B$14:$B$20&gt;0))*Premissas!$B$12</f>
        <v/>
      </c>
      <c r="S28" s="29">
        <f>SUMPRODUCT((Premissas!$D$14:$D$20&lt;=S2)*Premissas!$C$14:$C$20*(Premissas!$B$14:$B$20&gt;0))*Premissas!$B$12</f>
        <v/>
      </c>
    </row>
    <row r="29">
      <c r="A29" t="inlineStr">
        <is>
          <t>13º e férias (desembolso)</t>
        </is>
      </c>
      <c r="B29" s="29" t="n">
        <v>0</v>
      </c>
      <c r="C29" s="29" t="n">
        <v>0</v>
      </c>
      <c r="D29" s="29">
        <f>Premissas!$B$41*SUMPRODUCT((Premissas!$D$14:$D$20&lt;=2)*Premissas!$C$14:$C$20*Premissas!$B$14:$B$20*(2-((Premissas!$D$14:$D$20&gt;0)*Premissas!$D$14:$D$20+(Premissas!$D$14:$D$20&lt;=0)*0)+1)/12)+0</f>
        <v/>
      </c>
      <c r="E29" s="29" t="n">
        <v>0</v>
      </c>
      <c r="F29" s="29" t="n">
        <v>0</v>
      </c>
      <c r="G29" s="29" t="n">
        <v>0</v>
      </c>
      <c r="H29" s="29" t="n">
        <v>0</v>
      </c>
      <c r="I29" s="29" t="n">
        <v>0</v>
      </c>
      <c r="J29" s="29" t="n">
        <v>0</v>
      </c>
      <c r="K29" s="29" t="n">
        <v>0</v>
      </c>
      <c r="L29" s="29" t="n">
        <v>0</v>
      </c>
      <c r="M29" s="29" t="n">
        <v>0</v>
      </c>
      <c r="N29" s="29">
        <f>0+Premissas!$B$42*SUMPRODUCT((Premissas!$D$14:$D$20=0)*Premissas!$C$14:$C$20*Premissas!$B$14:$B$20)*4/3</f>
        <v/>
      </c>
      <c r="O29" s="29">
        <f>0+Premissas!$B$42*SUMPRODUCT((Premissas!$D$14:$D$20=1)*Premissas!$C$14:$C$20*Premissas!$B$14:$B$20)*4/3</f>
        <v/>
      </c>
      <c r="P29" s="29">
        <f>Premissas!$B$41*SUMPRODUCT((Premissas!$D$14:$D$20&lt;=14)*Premissas!$C$14:$C$20*Premissas!$B$14:$B$20*(14-((Premissas!$D$14:$D$20&gt;3)*Premissas!$D$14:$D$20+(Premissas!$D$14:$D$20&lt;=3)*3)+1)/12)+Premissas!$B$42*SUMPRODUCT((Premissas!$D$14:$D$20=2)*Premissas!$C$14:$C$20*Premissas!$B$14:$B$20)*4/3</f>
        <v/>
      </c>
      <c r="Q29" s="29">
        <f>0+Premissas!$B$42*SUMPRODUCT((Premissas!$D$14:$D$20=3)*Premissas!$C$14:$C$20*Premissas!$B$14:$B$20)*4/3</f>
        <v/>
      </c>
      <c r="R29" s="29">
        <f>0+Premissas!$B$42*SUMPRODUCT((Premissas!$D$14:$D$20=4)*Premissas!$C$14:$C$20*Premissas!$B$14:$B$20)*4/3</f>
        <v/>
      </c>
      <c r="S29" s="29">
        <f>0+Premissas!$B$42*SUMPRODUCT((Premissas!$D$14:$D$20=5)*Premissas!$C$14:$C$20*Premissas!$B$14:$B$20)*4/3</f>
        <v/>
      </c>
    </row>
    <row r="30">
      <c r="A30" t="inlineStr">
        <is>
          <t>Professores (salário + encargos)</t>
        </is>
      </c>
      <c r="B30" s="29" t="n">
        <v>0</v>
      </c>
      <c r="C30" s="29" t="n">
        <v>0</v>
      </c>
      <c r="D30" s="29">
        <f>D8*Premissas!$B$35</f>
        <v/>
      </c>
      <c r="E30" s="29">
        <f>E8*Premissas!$B$35</f>
        <v/>
      </c>
      <c r="F30" s="29">
        <f>F8*Premissas!$B$35</f>
        <v/>
      </c>
      <c r="G30" s="29">
        <f>G8*Premissas!$B$35</f>
        <v/>
      </c>
      <c r="H30" s="29">
        <f>H8*Premissas!$B$35</f>
        <v/>
      </c>
      <c r="I30" s="29">
        <f>I8*Premissas!$B$35</f>
        <v/>
      </c>
      <c r="J30" s="29">
        <f>J8*Premissas!$B$35</f>
        <v/>
      </c>
      <c r="K30" s="29">
        <f>K8*Premissas!$B$35</f>
        <v/>
      </c>
      <c r="L30" s="29">
        <f>L8*Premissas!$B$35</f>
        <v/>
      </c>
      <c r="M30" s="29">
        <f>M8*Premissas!$B$35</f>
        <v/>
      </c>
      <c r="N30" s="29">
        <f>N8*Premissas!$B$35</f>
        <v/>
      </c>
      <c r="O30" s="29">
        <f>O8*Premissas!$B$35</f>
        <v/>
      </c>
      <c r="P30" s="29">
        <f>P8*Premissas!$B$35</f>
        <v/>
      </c>
      <c r="Q30" s="29">
        <f>Q8*Premissas!$B$35</f>
        <v/>
      </c>
      <c r="R30" s="29">
        <f>R8*Premissas!$B$35</f>
        <v/>
      </c>
      <c r="S30" s="29">
        <f>S8*Premissas!$B$35</f>
        <v/>
      </c>
    </row>
    <row r="31">
      <c r="A31" t="inlineStr">
        <is>
          <t>Aluguel do espaço</t>
        </is>
      </c>
      <c r="B31" s="29">
        <f>'Custos mês a mês'!B2</f>
        <v/>
      </c>
      <c r="C31" s="29">
        <f>'Custos mês a mês'!C2</f>
        <v/>
      </c>
      <c r="D31" s="29">
        <f>'Custos mês a mês'!D2</f>
        <v/>
      </c>
      <c r="E31" s="29">
        <f>'Custos mês a mês'!E2</f>
        <v/>
      </c>
      <c r="F31" s="29">
        <f>'Custos mês a mês'!F2</f>
        <v/>
      </c>
      <c r="G31" s="29">
        <f>'Custos mês a mês'!G2</f>
        <v/>
      </c>
      <c r="H31" s="29">
        <f>'Custos mês a mês'!H2</f>
        <v/>
      </c>
      <c r="I31" s="29">
        <f>'Custos mês a mês'!I2</f>
        <v/>
      </c>
      <c r="J31" s="29">
        <f>'Custos mês a mês'!J2</f>
        <v/>
      </c>
      <c r="K31" s="29">
        <f>'Custos mês a mês'!K2</f>
        <v/>
      </c>
      <c r="L31" s="29">
        <f>'Custos mês a mês'!L2</f>
        <v/>
      </c>
      <c r="M31" s="29">
        <f>'Custos mês a mês'!M2</f>
        <v/>
      </c>
      <c r="N31" s="29">
        <f>'Custos mês a mês'!N2</f>
        <v/>
      </c>
      <c r="O31" s="29">
        <f>'Custos mês a mês'!O2</f>
        <v/>
      </c>
      <c r="P31" s="29">
        <f>'Custos mês a mês'!P2</f>
        <v/>
      </c>
      <c r="Q31" s="29">
        <f>'Custos mês a mês'!Q2</f>
        <v/>
      </c>
      <c r="R31" s="29">
        <f>'Custos mês a mês'!R2</f>
        <v/>
      </c>
      <c r="S31" s="29">
        <f>'Custos mês a mês'!S2</f>
        <v/>
      </c>
    </row>
    <row r="32">
      <c r="A32" t="inlineStr">
        <is>
          <t>Água</t>
        </is>
      </c>
      <c r="B32" s="29">
        <f>'Custos mês a mês'!B3</f>
        <v/>
      </c>
      <c r="C32" s="29">
        <f>'Custos mês a mês'!C3</f>
        <v/>
      </c>
      <c r="D32" s="29">
        <f>'Custos mês a mês'!D3</f>
        <v/>
      </c>
      <c r="E32" s="29">
        <f>'Custos mês a mês'!E3</f>
        <v/>
      </c>
      <c r="F32" s="29">
        <f>'Custos mês a mês'!F3</f>
        <v/>
      </c>
      <c r="G32" s="29">
        <f>'Custos mês a mês'!G3</f>
        <v/>
      </c>
      <c r="H32" s="29">
        <f>'Custos mês a mês'!H3</f>
        <v/>
      </c>
      <c r="I32" s="29">
        <f>'Custos mês a mês'!I3</f>
        <v/>
      </c>
      <c r="J32" s="29">
        <f>'Custos mês a mês'!J3</f>
        <v/>
      </c>
      <c r="K32" s="29">
        <f>'Custos mês a mês'!K3</f>
        <v/>
      </c>
      <c r="L32" s="29">
        <f>'Custos mês a mês'!L3</f>
        <v/>
      </c>
      <c r="M32" s="29">
        <f>'Custos mês a mês'!M3</f>
        <v/>
      </c>
      <c r="N32" s="29">
        <f>'Custos mês a mês'!N3</f>
        <v/>
      </c>
      <c r="O32" s="29">
        <f>'Custos mês a mês'!O3</f>
        <v/>
      </c>
      <c r="P32" s="29">
        <f>'Custos mês a mês'!P3</f>
        <v/>
      </c>
      <c r="Q32" s="29">
        <f>'Custos mês a mês'!Q3</f>
        <v/>
      </c>
      <c r="R32" s="29">
        <f>'Custos mês a mês'!R3</f>
        <v/>
      </c>
      <c r="S32" s="29">
        <f>'Custos mês a mês'!S3</f>
        <v/>
      </c>
    </row>
    <row r="33">
      <c r="A33" t="inlineStr">
        <is>
          <t>Luz</t>
        </is>
      </c>
      <c r="B33" s="29">
        <f>'Custos mês a mês'!B4</f>
        <v/>
      </c>
      <c r="C33" s="29">
        <f>'Custos mês a mês'!C4</f>
        <v/>
      </c>
      <c r="D33" s="29">
        <f>'Custos mês a mês'!D4</f>
        <v/>
      </c>
      <c r="E33" s="29">
        <f>'Custos mês a mês'!E4</f>
        <v/>
      </c>
      <c r="F33" s="29">
        <f>'Custos mês a mês'!F4</f>
        <v/>
      </c>
      <c r="G33" s="29">
        <f>'Custos mês a mês'!G4</f>
        <v/>
      </c>
      <c r="H33" s="29">
        <f>'Custos mês a mês'!H4</f>
        <v/>
      </c>
      <c r="I33" s="29">
        <f>'Custos mês a mês'!I4</f>
        <v/>
      </c>
      <c r="J33" s="29">
        <f>'Custos mês a mês'!J4</f>
        <v/>
      </c>
      <c r="K33" s="29">
        <f>'Custos mês a mês'!K4</f>
        <v/>
      </c>
      <c r="L33" s="29">
        <f>'Custos mês a mês'!L4</f>
        <v/>
      </c>
      <c r="M33" s="29">
        <f>'Custos mês a mês'!M4</f>
        <v/>
      </c>
      <c r="N33" s="29">
        <f>'Custos mês a mês'!N4</f>
        <v/>
      </c>
      <c r="O33" s="29">
        <f>'Custos mês a mês'!O4</f>
        <v/>
      </c>
      <c r="P33" s="29">
        <f>'Custos mês a mês'!P4</f>
        <v/>
      </c>
      <c r="Q33" s="29">
        <f>'Custos mês a mês'!Q4</f>
        <v/>
      </c>
      <c r="R33" s="29">
        <f>'Custos mês a mês'!R4</f>
        <v/>
      </c>
      <c r="S33" s="29">
        <f>'Custos mês a mês'!S4</f>
        <v/>
      </c>
    </row>
    <row r="34">
      <c r="A34" t="inlineStr">
        <is>
          <t>Telefone</t>
        </is>
      </c>
      <c r="B34" s="29">
        <f>'Custos mês a mês'!B5</f>
        <v/>
      </c>
      <c r="C34" s="29">
        <f>'Custos mês a mês'!C5</f>
        <v/>
      </c>
      <c r="D34" s="29">
        <f>'Custos mês a mês'!D5</f>
        <v/>
      </c>
      <c r="E34" s="29">
        <f>'Custos mês a mês'!E5</f>
        <v/>
      </c>
      <c r="F34" s="29">
        <f>'Custos mês a mês'!F5</f>
        <v/>
      </c>
      <c r="G34" s="29">
        <f>'Custos mês a mês'!G5</f>
        <v/>
      </c>
      <c r="H34" s="29">
        <f>'Custos mês a mês'!H5</f>
        <v/>
      </c>
      <c r="I34" s="29">
        <f>'Custos mês a mês'!I5</f>
        <v/>
      </c>
      <c r="J34" s="29">
        <f>'Custos mês a mês'!J5</f>
        <v/>
      </c>
      <c r="K34" s="29">
        <f>'Custos mês a mês'!K5</f>
        <v/>
      </c>
      <c r="L34" s="29">
        <f>'Custos mês a mês'!L5</f>
        <v/>
      </c>
      <c r="M34" s="29">
        <f>'Custos mês a mês'!M5</f>
        <v/>
      </c>
      <c r="N34" s="29">
        <f>'Custos mês a mês'!N5</f>
        <v/>
      </c>
      <c r="O34" s="29">
        <f>'Custos mês a mês'!O5</f>
        <v/>
      </c>
      <c r="P34" s="29">
        <f>'Custos mês a mês'!P5</f>
        <v/>
      </c>
      <c r="Q34" s="29">
        <f>'Custos mês a mês'!Q5</f>
        <v/>
      </c>
      <c r="R34" s="29">
        <f>'Custos mês a mês'!R5</f>
        <v/>
      </c>
      <c r="S34" s="29">
        <f>'Custos mês a mês'!S5</f>
        <v/>
      </c>
    </row>
    <row r="35">
      <c r="A35" t="inlineStr">
        <is>
          <t>Internet</t>
        </is>
      </c>
      <c r="B35" s="29">
        <f>'Custos mês a mês'!B6</f>
        <v/>
      </c>
      <c r="C35" s="29">
        <f>'Custos mês a mês'!C6</f>
        <v/>
      </c>
      <c r="D35" s="29">
        <f>'Custos mês a mês'!D6</f>
        <v/>
      </c>
      <c r="E35" s="29">
        <f>'Custos mês a mês'!E6</f>
        <v/>
      </c>
      <c r="F35" s="29">
        <f>'Custos mês a mês'!F6</f>
        <v/>
      </c>
      <c r="G35" s="29">
        <f>'Custos mês a mês'!G6</f>
        <v/>
      </c>
      <c r="H35" s="29">
        <f>'Custos mês a mês'!H6</f>
        <v/>
      </c>
      <c r="I35" s="29">
        <f>'Custos mês a mês'!I6</f>
        <v/>
      </c>
      <c r="J35" s="29">
        <f>'Custos mês a mês'!J6</f>
        <v/>
      </c>
      <c r="K35" s="29">
        <f>'Custos mês a mês'!K6</f>
        <v/>
      </c>
      <c r="L35" s="29">
        <f>'Custos mês a mês'!L6</f>
        <v/>
      </c>
      <c r="M35" s="29">
        <f>'Custos mês a mês'!M6</f>
        <v/>
      </c>
      <c r="N35" s="29">
        <f>'Custos mês a mês'!N6</f>
        <v/>
      </c>
      <c r="O35" s="29">
        <f>'Custos mês a mês'!O6</f>
        <v/>
      </c>
      <c r="P35" s="29">
        <f>'Custos mês a mês'!P6</f>
        <v/>
      </c>
      <c r="Q35" s="29">
        <f>'Custos mês a mês'!Q6</f>
        <v/>
      </c>
      <c r="R35" s="29">
        <f>'Custos mês a mês'!R6</f>
        <v/>
      </c>
      <c r="S35" s="29">
        <f>'Custos mês a mês'!S6</f>
        <v/>
      </c>
    </row>
    <row r="36">
      <c r="A36" t="inlineStr">
        <is>
          <t>Sistema de gestão DiscoverON</t>
        </is>
      </c>
      <c r="B36" s="29">
        <f>'Custos mês a mês'!B7</f>
        <v/>
      </c>
      <c r="C36" s="29">
        <f>'Custos mês a mês'!C7</f>
        <v/>
      </c>
      <c r="D36" s="29">
        <f>'Custos mês a mês'!D7</f>
        <v/>
      </c>
      <c r="E36" s="29">
        <f>'Custos mês a mês'!E7</f>
        <v/>
      </c>
      <c r="F36" s="29">
        <f>'Custos mês a mês'!F7</f>
        <v/>
      </c>
      <c r="G36" s="29">
        <f>'Custos mês a mês'!G7</f>
        <v/>
      </c>
      <c r="H36" s="29">
        <f>'Custos mês a mês'!H7</f>
        <v/>
      </c>
      <c r="I36" s="29">
        <f>'Custos mês a mês'!I7</f>
        <v/>
      </c>
      <c r="J36" s="29">
        <f>'Custos mês a mês'!J7</f>
        <v/>
      </c>
      <c r="K36" s="29">
        <f>'Custos mês a mês'!K7</f>
        <v/>
      </c>
      <c r="L36" s="29">
        <f>'Custos mês a mês'!L7</f>
        <v/>
      </c>
      <c r="M36" s="29">
        <f>'Custos mês a mês'!M7</f>
        <v/>
      </c>
      <c r="N36" s="29">
        <f>'Custos mês a mês'!N7</f>
        <v/>
      </c>
      <c r="O36" s="29">
        <f>'Custos mês a mês'!O7</f>
        <v/>
      </c>
      <c r="P36" s="29">
        <f>'Custos mês a mês'!P7</f>
        <v/>
      </c>
      <c r="Q36" s="29">
        <f>'Custos mês a mês'!Q7</f>
        <v/>
      </c>
      <c r="R36" s="29">
        <f>'Custos mês a mês'!R7</f>
        <v/>
      </c>
      <c r="S36" s="29">
        <f>'Custos mês a mês'!S7</f>
        <v/>
      </c>
    </row>
    <row r="37">
      <c r="A37" t="inlineStr">
        <is>
          <t>Itens para aula</t>
        </is>
      </c>
      <c r="B37" s="29">
        <f>'Custos mês a mês'!B8</f>
        <v/>
      </c>
      <c r="C37" s="29">
        <f>'Custos mês a mês'!C8</f>
        <v/>
      </c>
      <c r="D37" s="29">
        <f>'Custos mês a mês'!D8</f>
        <v/>
      </c>
      <c r="E37" s="29">
        <f>'Custos mês a mês'!E8</f>
        <v/>
      </c>
      <c r="F37" s="29">
        <f>'Custos mês a mês'!F8</f>
        <v/>
      </c>
      <c r="G37" s="29">
        <f>'Custos mês a mês'!G8</f>
        <v/>
      </c>
      <c r="H37" s="29">
        <f>'Custos mês a mês'!H8</f>
        <v/>
      </c>
      <c r="I37" s="29">
        <f>'Custos mês a mês'!I8</f>
        <v/>
      </c>
      <c r="J37" s="29">
        <f>'Custos mês a mês'!J8</f>
        <v/>
      </c>
      <c r="K37" s="29">
        <f>'Custos mês a mês'!K8</f>
        <v/>
      </c>
      <c r="L37" s="29">
        <f>'Custos mês a mês'!L8</f>
        <v/>
      </c>
      <c r="M37" s="29">
        <f>'Custos mês a mês'!M8</f>
        <v/>
      </c>
      <c r="N37" s="29">
        <f>'Custos mês a mês'!N8</f>
        <v/>
      </c>
      <c r="O37" s="29">
        <f>'Custos mês a mês'!O8</f>
        <v/>
      </c>
      <c r="P37" s="29">
        <f>'Custos mês a mês'!P8</f>
        <v/>
      </c>
      <c r="Q37" s="29">
        <f>'Custos mês a mês'!Q8</f>
        <v/>
      </c>
      <c r="R37" s="29">
        <f>'Custos mês a mês'!R8</f>
        <v/>
      </c>
      <c r="S37" s="29">
        <f>'Custos mês a mês'!S8</f>
        <v/>
      </c>
    </row>
    <row r="38">
      <c r="A38" t="inlineStr">
        <is>
          <t>Materiais de limpeza + higiene</t>
        </is>
      </c>
      <c r="B38" s="29">
        <f>'Custos mês a mês'!B9</f>
        <v/>
      </c>
      <c r="C38" s="29">
        <f>'Custos mês a mês'!C9</f>
        <v/>
      </c>
      <c r="D38" s="29">
        <f>'Custos mês a mês'!D9</f>
        <v/>
      </c>
      <c r="E38" s="29">
        <f>'Custos mês a mês'!E9</f>
        <v/>
      </c>
      <c r="F38" s="29">
        <f>'Custos mês a mês'!F9</f>
        <v/>
      </c>
      <c r="G38" s="29">
        <f>'Custos mês a mês'!G9</f>
        <v/>
      </c>
      <c r="H38" s="29">
        <f>'Custos mês a mês'!H9</f>
        <v/>
      </c>
      <c r="I38" s="29">
        <f>'Custos mês a mês'!I9</f>
        <v/>
      </c>
      <c r="J38" s="29">
        <f>'Custos mês a mês'!J9</f>
        <v/>
      </c>
      <c r="K38" s="29">
        <f>'Custos mês a mês'!K9</f>
        <v/>
      </c>
      <c r="L38" s="29">
        <f>'Custos mês a mês'!L9</f>
        <v/>
      </c>
      <c r="M38" s="29">
        <f>'Custos mês a mês'!M9</f>
        <v/>
      </c>
      <c r="N38" s="29">
        <f>'Custos mês a mês'!N9</f>
        <v/>
      </c>
      <c r="O38" s="29">
        <f>'Custos mês a mês'!O9</f>
        <v/>
      </c>
      <c r="P38" s="29">
        <f>'Custos mês a mês'!P9</f>
        <v/>
      </c>
      <c r="Q38" s="29">
        <f>'Custos mês a mês'!Q9</f>
        <v/>
      </c>
      <c r="R38" s="29">
        <f>'Custos mês a mês'!R9</f>
        <v/>
      </c>
      <c r="S38" s="29">
        <f>'Custos mês a mês'!S9</f>
        <v/>
      </c>
    </row>
    <row r="39">
      <c r="A39" t="inlineStr">
        <is>
          <t>Brindes</t>
        </is>
      </c>
      <c r="B39" s="29">
        <f>'Custos mês a mês'!B10</f>
        <v/>
      </c>
      <c r="C39" s="29">
        <f>'Custos mês a mês'!C10</f>
        <v/>
      </c>
      <c r="D39" s="29">
        <f>'Custos mês a mês'!D10</f>
        <v/>
      </c>
      <c r="E39" s="29">
        <f>'Custos mês a mês'!E10</f>
        <v/>
      </c>
      <c r="F39" s="29">
        <f>'Custos mês a mês'!F10</f>
        <v/>
      </c>
      <c r="G39" s="29">
        <f>'Custos mês a mês'!G10</f>
        <v/>
      </c>
      <c r="H39" s="29">
        <f>'Custos mês a mês'!H10</f>
        <v/>
      </c>
      <c r="I39" s="29">
        <f>'Custos mês a mês'!I10</f>
        <v/>
      </c>
      <c r="J39" s="29">
        <f>'Custos mês a mês'!J10</f>
        <v/>
      </c>
      <c r="K39" s="29">
        <f>'Custos mês a mês'!K10</f>
        <v/>
      </c>
      <c r="L39" s="29">
        <f>'Custos mês a mês'!L10</f>
        <v/>
      </c>
      <c r="M39" s="29">
        <f>'Custos mês a mês'!M10</f>
        <v/>
      </c>
      <c r="N39" s="29">
        <f>'Custos mês a mês'!N10</f>
        <v/>
      </c>
      <c r="O39" s="29">
        <f>'Custos mês a mês'!O10</f>
        <v/>
      </c>
      <c r="P39" s="29">
        <f>'Custos mês a mês'!P10</f>
        <v/>
      </c>
      <c r="Q39" s="29">
        <f>'Custos mês a mês'!Q10</f>
        <v/>
      </c>
      <c r="R39" s="29">
        <f>'Custos mês a mês'!R10</f>
        <v/>
      </c>
      <c r="S39" s="29">
        <f>'Custos mês a mês'!S10</f>
        <v/>
      </c>
    </row>
    <row r="40">
      <c r="A40" t="inlineStr">
        <is>
          <t>Marketing</t>
        </is>
      </c>
      <c r="B40" s="29">
        <f>'Custos mês a mês'!B11</f>
        <v/>
      </c>
      <c r="C40" s="29">
        <f>'Custos mês a mês'!C11</f>
        <v/>
      </c>
      <c r="D40" s="29">
        <f>'Custos mês a mês'!D11</f>
        <v/>
      </c>
      <c r="E40" s="29">
        <f>'Custos mês a mês'!E11</f>
        <v/>
      </c>
      <c r="F40" s="29">
        <f>'Custos mês a mês'!F11</f>
        <v/>
      </c>
      <c r="G40" s="29">
        <f>'Custos mês a mês'!G11</f>
        <v/>
      </c>
      <c r="H40" s="29">
        <f>'Custos mês a mês'!H11</f>
        <v/>
      </c>
      <c r="I40" s="29">
        <f>'Custos mês a mês'!I11</f>
        <v/>
      </c>
      <c r="J40" s="29">
        <f>'Custos mês a mês'!J11</f>
        <v/>
      </c>
      <c r="K40" s="29">
        <f>'Custos mês a mês'!K11</f>
        <v/>
      </c>
      <c r="L40" s="29">
        <f>'Custos mês a mês'!L11</f>
        <v/>
      </c>
      <c r="M40" s="29">
        <f>'Custos mês a mês'!M11</f>
        <v/>
      </c>
      <c r="N40" s="29">
        <f>'Custos mês a mês'!N11</f>
        <v/>
      </c>
      <c r="O40" s="29">
        <f>'Custos mês a mês'!O11</f>
        <v/>
      </c>
      <c r="P40" s="29">
        <f>'Custos mês a mês'!P11</f>
        <v/>
      </c>
      <c r="Q40" s="29">
        <f>'Custos mês a mês'!Q11</f>
        <v/>
      </c>
      <c r="R40" s="29">
        <f>'Custos mês a mês'!R11</f>
        <v/>
      </c>
      <c r="S40" s="29">
        <f>'Custos mês a mês'!S11</f>
        <v/>
      </c>
    </row>
    <row r="41">
      <c r="A41" t="inlineStr">
        <is>
          <t>Aluguel dos computadores</t>
        </is>
      </c>
      <c r="B41" s="29">
        <f>'Custos mês a mês'!B12</f>
        <v/>
      </c>
      <c r="C41" s="29">
        <f>'Custos mês a mês'!C12</f>
        <v/>
      </c>
      <c r="D41" s="29">
        <f>'Custos mês a mês'!D12</f>
        <v/>
      </c>
      <c r="E41" s="29">
        <f>'Custos mês a mês'!E12</f>
        <v/>
      </c>
      <c r="F41" s="29">
        <f>'Custos mês a mês'!F12</f>
        <v/>
      </c>
      <c r="G41" s="29">
        <f>'Custos mês a mês'!G12</f>
        <v/>
      </c>
      <c r="H41" s="29">
        <f>'Custos mês a mês'!H12</f>
        <v/>
      </c>
      <c r="I41" s="29">
        <f>'Custos mês a mês'!I12</f>
        <v/>
      </c>
      <c r="J41" s="29">
        <f>'Custos mês a mês'!J12</f>
        <v/>
      </c>
      <c r="K41" s="29">
        <f>'Custos mês a mês'!K12</f>
        <v/>
      </c>
      <c r="L41" s="29">
        <f>'Custos mês a mês'!L12</f>
        <v/>
      </c>
      <c r="M41" s="29">
        <f>'Custos mês a mês'!M12</f>
        <v/>
      </c>
      <c r="N41" s="29">
        <f>'Custos mês a mês'!N12</f>
        <v/>
      </c>
      <c r="O41" s="29">
        <f>'Custos mês a mês'!O12</f>
        <v/>
      </c>
      <c r="P41" s="29">
        <f>'Custos mês a mês'!P12</f>
        <v/>
      </c>
      <c r="Q41" s="29">
        <f>'Custos mês a mês'!Q12</f>
        <v/>
      </c>
      <c r="R41" s="29">
        <f>'Custos mês a mês'!R12</f>
        <v/>
      </c>
      <c r="S41" s="29">
        <f>'Custos mês a mês'!S12</f>
        <v/>
      </c>
    </row>
    <row r="42">
      <c r="A42" t="inlineStr">
        <is>
          <t>Seguro empresarial</t>
        </is>
      </c>
      <c r="B42" s="29">
        <f>'Custos mês a mês'!B13</f>
        <v/>
      </c>
      <c r="C42" s="29">
        <f>'Custos mês a mês'!C13</f>
        <v/>
      </c>
      <c r="D42" s="29">
        <f>'Custos mês a mês'!D13</f>
        <v/>
      </c>
      <c r="E42" s="29">
        <f>'Custos mês a mês'!E13</f>
        <v/>
      </c>
      <c r="F42" s="29">
        <f>'Custos mês a mês'!F13</f>
        <v/>
      </c>
      <c r="G42" s="29">
        <f>'Custos mês a mês'!G13</f>
        <v/>
      </c>
      <c r="H42" s="29">
        <f>'Custos mês a mês'!H13</f>
        <v/>
      </c>
      <c r="I42" s="29">
        <f>'Custos mês a mês'!I13</f>
        <v/>
      </c>
      <c r="J42" s="29">
        <f>'Custos mês a mês'!J13</f>
        <v/>
      </c>
      <c r="K42" s="29">
        <f>'Custos mês a mês'!K13</f>
        <v/>
      </c>
      <c r="L42" s="29">
        <f>'Custos mês a mês'!L13</f>
        <v/>
      </c>
      <c r="M42" s="29">
        <f>'Custos mês a mês'!M13</f>
        <v/>
      </c>
      <c r="N42" s="29">
        <f>'Custos mês a mês'!N13</f>
        <v/>
      </c>
      <c r="O42" s="29">
        <f>'Custos mês a mês'!O13</f>
        <v/>
      </c>
      <c r="P42" s="29">
        <f>'Custos mês a mês'!P13</f>
        <v/>
      </c>
      <c r="Q42" s="29">
        <f>'Custos mês a mês'!Q13</f>
        <v/>
      </c>
      <c r="R42" s="29">
        <f>'Custos mês a mês'!R13</f>
        <v/>
      </c>
      <c r="S42" s="29">
        <f>'Custos mês a mês'!S13</f>
        <v/>
      </c>
    </row>
    <row r="43">
      <c r="A43" t="inlineStr">
        <is>
          <t>Taxas bancárias + gasolina</t>
        </is>
      </c>
      <c r="B43" s="29">
        <f>'Custos mês a mês'!B14</f>
        <v/>
      </c>
      <c r="C43" s="29">
        <f>'Custos mês a mês'!C14</f>
        <v/>
      </c>
      <c r="D43" s="29">
        <f>'Custos mês a mês'!D14</f>
        <v/>
      </c>
      <c r="E43" s="29">
        <f>'Custos mês a mês'!E14</f>
        <v/>
      </c>
      <c r="F43" s="29">
        <f>'Custos mês a mês'!F14</f>
        <v/>
      </c>
      <c r="G43" s="29">
        <f>'Custos mês a mês'!G14</f>
        <v/>
      </c>
      <c r="H43" s="29">
        <f>'Custos mês a mês'!H14</f>
        <v/>
      </c>
      <c r="I43" s="29">
        <f>'Custos mês a mês'!I14</f>
        <v/>
      </c>
      <c r="J43" s="29">
        <f>'Custos mês a mês'!J14</f>
        <v/>
      </c>
      <c r="K43" s="29">
        <f>'Custos mês a mês'!K14</f>
        <v/>
      </c>
      <c r="L43" s="29">
        <f>'Custos mês a mês'!L14</f>
        <v/>
      </c>
      <c r="M43" s="29">
        <f>'Custos mês a mês'!M14</f>
        <v/>
      </c>
      <c r="N43" s="29">
        <f>'Custos mês a mês'!N14</f>
        <v/>
      </c>
      <c r="O43" s="29">
        <f>'Custos mês a mês'!O14</f>
        <v/>
      </c>
      <c r="P43" s="29">
        <f>'Custos mês a mês'!P14</f>
        <v/>
      </c>
      <c r="Q43" s="29">
        <f>'Custos mês a mês'!Q14</f>
        <v/>
      </c>
      <c r="R43" s="29">
        <f>'Custos mês a mês'!R14</f>
        <v/>
      </c>
      <c r="S43" s="29">
        <f>'Custos mês a mês'!S14</f>
        <v/>
      </c>
    </row>
    <row r="44">
      <c r="A44" t="inlineStr">
        <is>
          <t>Custos operacionais (contab., manut., licenças…)</t>
        </is>
      </c>
      <c r="B44" s="29">
        <f>'Custos mês a mês'!B15</f>
        <v/>
      </c>
      <c r="C44" s="29">
        <f>'Custos mês a mês'!C15</f>
        <v/>
      </c>
      <c r="D44" s="29">
        <f>'Custos mês a mês'!D15</f>
        <v/>
      </c>
      <c r="E44" s="29">
        <f>'Custos mês a mês'!E15</f>
        <v/>
      </c>
      <c r="F44" s="29">
        <f>'Custos mês a mês'!F15</f>
        <v/>
      </c>
      <c r="G44" s="29">
        <f>'Custos mês a mês'!G15</f>
        <v/>
      </c>
      <c r="H44" s="29">
        <f>'Custos mês a mês'!H15</f>
        <v/>
      </c>
      <c r="I44" s="29">
        <f>'Custos mês a mês'!I15</f>
        <v/>
      </c>
      <c r="J44" s="29">
        <f>'Custos mês a mês'!J15</f>
        <v/>
      </c>
      <c r="K44" s="29">
        <f>'Custos mês a mês'!K15</f>
        <v/>
      </c>
      <c r="L44" s="29">
        <f>'Custos mês a mês'!L15</f>
        <v/>
      </c>
      <c r="M44" s="29">
        <f>'Custos mês a mês'!M15</f>
        <v/>
      </c>
      <c r="N44" s="29">
        <f>'Custos mês a mês'!N15</f>
        <v/>
      </c>
      <c r="O44" s="29">
        <f>'Custos mês a mês'!O15</f>
        <v/>
      </c>
      <c r="P44" s="29">
        <f>'Custos mês a mês'!P15</f>
        <v/>
      </c>
      <c r="Q44" s="29">
        <f>'Custos mês a mês'!Q15</f>
        <v/>
      </c>
      <c r="R44" s="29">
        <f>'Custos mês a mês'!R15</f>
        <v/>
      </c>
      <c r="S44" s="29">
        <f>'Custos mês a mês'!S15</f>
        <v/>
      </c>
    </row>
    <row r="45">
      <c r="A45" t="inlineStr">
        <is>
          <t>Pró-labore</t>
        </is>
      </c>
      <c r="B45" s="29">
        <f>'Custos mês a mês'!B16</f>
        <v/>
      </c>
      <c r="C45" s="29">
        <f>'Custos mês a mês'!C16</f>
        <v/>
      </c>
      <c r="D45" s="29">
        <f>'Custos mês a mês'!D16</f>
        <v/>
      </c>
      <c r="E45" s="29">
        <f>'Custos mês a mês'!E16</f>
        <v/>
      </c>
      <c r="F45" s="29">
        <f>'Custos mês a mês'!F16</f>
        <v/>
      </c>
      <c r="G45" s="29">
        <f>'Custos mês a mês'!G16</f>
        <v/>
      </c>
      <c r="H45" s="29">
        <f>'Custos mês a mês'!H16</f>
        <v/>
      </c>
      <c r="I45" s="29">
        <f>'Custos mês a mês'!I16</f>
        <v/>
      </c>
      <c r="J45" s="29">
        <f>'Custos mês a mês'!J16</f>
        <v/>
      </c>
      <c r="K45" s="29">
        <f>'Custos mês a mês'!K16</f>
        <v/>
      </c>
      <c r="L45" s="29">
        <f>'Custos mês a mês'!L16</f>
        <v/>
      </c>
      <c r="M45" s="29">
        <f>'Custos mês a mês'!M16</f>
        <v/>
      </c>
      <c r="N45" s="29">
        <f>'Custos mês a mês'!N16</f>
        <v/>
      </c>
      <c r="O45" s="29">
        <f>'Custos mês a mês'!O16</f>
        <v/>
      </c>
      <c r="P45" s="29">
        <f>'Custos mês a mês'!P16</f>
        <v/>
      </c>
      <c r="Q45" s="29">
        <f>'Custos mês a mês'!Q16</f>
        <v/>
      </c>
      <c r="R45" s="29">
        <f>'Custos mês a mês'!R16</f>
        <v/>
      </c>
      <c r="S45" s="29">
        <f>'Custos mês a mês'!S16</f>
        <v/>
      </c>
    </row>
    <row r="46">
      <c r="A46" s="42" t="inlineStr">
        <is>
          <t>Total de despesas</t>
        </is>
      </c>
      <c r="B46" s="24">
        <f>SUM(B23:B45)</f>
        <v/>
      </c>
      <c r="C46" s="24">
        <f>SUM(C23:C45)</f>
        <v/>
      </c>
      <c r="D46" s="24">
        <f>SUM(D23:D45)</f>
        <v/>
      </c>
      <c r="E46" s="24">
        <f>SUM(E23:E45)</f>
        <v/>
      </c>
      <c r="F46" s="24">
        <f>SUM(F23:F45)</f>
        <v/>
      </c>
      <c r="G46" s="24">
        <f>SUM(G23:G45)</f>
        <v/>
      </c>
      <c r="H46" s="24">
        <f>SUM(H23:H45)</f>
        <v/>
      </c>
      <c r="I46" s="24">
        <f>SUM(I23:I45)</f>
        <v/>
      </c>
      <c r="J46" s="24">
        <f>SUM(J23:J45)</f>
        <v/>
      </c>
      <c r="K46" s="24">
        <f>SUM(K23:K45)</f>
        <v/>
      </c>
      <c r="L46" s="24">
        <f>SUM(L23:L45)</f>
        <v/>
      </c>
      <c r="M46" s="24">
        <f>SUM(M23:M45)</f>
        <v/>
      </c>
      <c r="N46" s="24">
        <f>SUM(N23:N45)</f>
        <v/>
      </c>
      <c r="O46" s="24">
        <f>SUM(O23:O45)</f>
        <v/>
      </c>
      <c r="P46" s="24">
        <f>SUM(P23:P45)</f>
        <v/>
      </c>
      <c r="Q46" s="24">
        <f>SUM(Q23:Q45)</f>
        <v/>
      </c>
      <c r="R46" s="24">
        <f>SUM(R23:R45)</f>
        <v/>
      </c>
      <c r="S46" s="24">
        <f>SUM(S23:S45)</f>
        <v/>
      </c>
    </row>
    <row r="48">
      <c r="A48" s="14" t="inlineStr">
        <is>
          <t>Resultado do mês</t>
        </is>
      </c>
      <c r="B48" s="44">
        <f>B15-B46</f>
        <v/>
      </c>
      <c r="C48" s="44">
        <f>C15-C46</f>
        <v/>
      </c>
      <c r="D48" s="44">
        <f>D15-D46</f>
        <v/>
      </c>
      <c r="E48" s="44">
        <f>E15-E46</f>
        <v/>
      </c>
      <c r="F48" s="44">
        <f>F15-F46</f>
        <v/>
      </c>
      <c r="G48" s="44">
        <f>G15-G46</f>
        <v/>
      </c>
      <c r="H48" s="44">
        <f>H15-H46</f>
        <v/>
      </c>
      <c r="I48" s="44">
        <f>I15-I46</f>
        <v/>
      </c>
      <c r="J48" s="44">
        <f>J15-J46</f>
        <v/>
      </c>
      <c r="K48" s="44">
        <f>K15-K46</f>
        <v/>
      </c>
      <c r="L48" s="44">
        <f>L15-L46</f>
        <v/>
      </c>
      <c r="M48" s="44">
        <f>M15-M46</f>
        <v/>
      </c>
      <c r="N48" s="44">
        <f>N15-N46</f>
        <v/>
      </c>
      <c r="O48" s="44">
        <f>O15-O46</f>
        <v/>
      </c>
      <c r="P48" s="44">
        <f>P15-P46</f>
        <v/>
      </c>
      <c r="Q48" s="44">
        <f>Q15-Q46</f>
        <v/>
      </c>
      <c r="R48" s="44">
        <f>R15-R46</f>
        <v/>
      </c>
      <c r="S48" s="44">
        <f>S15-S46</f>
        <v/>
      </c>
    </row>
    <row r="49">
      <c r="A49" s="14" t="inlineStr">
        <is>
          <t>Caixa acumulado (operacional)</t>
        </is>
      </c>
      <c r="B49" s="44">
        <f>B48</f>
        <v/>
      </c>
      <c r="C49" s="44">
        <f>B49+C48</f>
        <v/>
      </c>
      <c r="D49" s="44">
        <f>C49+D48</f>
        <v/>
      </c>
      <c r="E49" s="44">
        <f>D49+E48</f>
        <v/>
      </c>
      <c r="F49" s="44">
        <f>E49+F48</f>
        <v/>
      </c>
      <c r="G49" s="44">
        <f>F49+G48</f>
        <v/>
      </c>
      <c r="H49" s="44">
        <f>G49+H48</f>
        <v/>
      </c>
      <c r="I49" s="44">
        <f>H49+I48</f>
        <v/>
      </c>
      <c r="J49" s="44">
        <f>I49+J48</f>
        <v/>
      </c>
      <c r="K49" s="44">
        <f>J49+K48</f>
        <v/>
      </c>
      <c r="L49" s="44">
        <f>K49+L48</f>
        <v/>
      </c>
      <c r="M49" s="44">
        <f>L49+M48</f>
        <v/>
      </c>
      <c r="N49" s="44">
        <f>M49+N48</f>
        <v/>
      </c>
      <c r="O49" s="44">
        <f>N49+O48</f>
        <v/>
      </c>
      <c r="P49" s="44">
        <f>O49+P48</f>
        <v/>
      </c>
      <c r="Q49" s="44">
        <f>P49+Q48</f>
        <v/>
      </c>
      <c r="R49" s="44">
        <f>Q49+R48</f>
        <v/>
      </c>
      <c r="S49" s="44">
        <f>R49+S48</f>
        <v/>
      </c>
    </row>
    <row r="50">
      <c r="A50" s="14" t="inlineStr">
        <is>
          <t>Caixa acumulado incl. investimento</t>
        </is>
      </c>
      <c r="B50" s="44">
        <f>B49-INVEST_TOTAL</f>
        <v/>
      </c>
      <c r="C50" s="44">
        <f>C49-INVEST_TOTAL</f>
        <v/>
      </c>
      <c r="D50" s="44">
        <f>D49-INVEST_TOTAL</f>
        <v/>
      </c>
      <c r="E50" s="44">
        <f>E49-INVEST_TOTAL</f>
        <v/>
      </c>
      <c r="F50" s="44">
        <f>F49-INVEST_TOTAL</f>
        <v/>
      </c>
      <c r="G50" s="44">
        <f>G49-INVEST_TOTAL</f>
        <v/>
      </c>
      <c r="H50" s="44">
        <f>H49-INVEST_TOTAL</f>
        <v/>
      </c>
      <c r="I50" s="44">
        <f>I49-INVEST_TOTAL</f>
        <v/>
      </c>
      <c r="J50" s="44">
        <f>J49-INVEST_TOTAL</f>
        <v/>
      </c>
      <c r="K50" s="44">
        <f>K49-INVEST_TOTAL</f>
        <v/>
      </c>
      <c r="L50" s="44">
        <f>L49-INVEST_TOTAL</f>
        <v/>
      </c>
      <c r="M50" s="44">
        <f>M49-INVEST_TOTAL</f>
        <v/>
      </c>
      <c r="N50" s="44">
        <f>N49-INVEST_TOTAL</f>
        <v/>
      </c>
      <c r="O50" s="44">
        <f>O49-INVEST_TOTAL</f>
        <v/>
      </c>
      <c r="P50" s="44">
        <f>P49-INVEST_TOTAL</f>
        <v/>
      </c>
      <c r="Q50" s="44">
        <f>Q49-INVEST_TOTAL</f>
        <v/>
      </c>
      <c r="R50" s="44">
        <f>R49-INVEST_TOTAL</f>
        <v/>
      </c>
      <c r="S50" s="44">
        <f>S49-INVEST_TOTAL</f>
        <v/>
      </c>
    </row>
    <row r="51">
      <c r="A51" s="14" t="inlineStr">
        <is>
          <t>MARCOS</t>
        </is>
      </c>
      <c r="B51" s="45" t="inlineStr"/>
      <c r="C51" s="45" t="inlineStr"/>
      <c r="D51" s="45">
        <f>IF(AND(D48&gt;0,COUNTIF($D48:D48,"&gt;0")=1),IF(AND(D50&gt;=0,COUNTIF($D50:D50,"&gt;=0")=1),"BE + PAYBACK","BREAK-EVEN"),IF(AND(D50&gt;=0,COUNTIF($D50:D50,"&gt;=0")=1),"PAYBACK",""))</f>
        <v/>
      </c>
      <c r="E51" s="45">
        <f>IF(AND(E48&gt;0,COUNTIF($D48:E48,"&gt;0")=1),IF(AND(E50&gt;=0,COUNTIF($D50:E50,"&gt;=0")=1),"BE + PAYBACK","BREAK-EVEN"),IF(AND(E50&gt;=0,COUNTIF($D50:E50,"&gt;=0")=1),"PAYBACK",""))</f>
        <v/>
      </c>
      <c r="F51" s="45">
        <f>IF(AND(F48&gt;0,COUNTIF($D48:F48,"&gt;0")=1),IF(AND(F50&gt;=0,COUNTIF($D50:F50,"&gt;=0")=1),"BE + PAYBACK","BREAK-EVEN"),IF(AND(F50&gt;=0,COUNTIF($D50:F50,"&gt;=0")=1),"PAYBACK",""))</f>
        <v/>
      </c>
      <c r="G51" s="45">
        <f>IF(AND(G48&gt;0,COUNTIF($D48:G48,"&gt;0")=1),IF(AND(G50&gt;=0,COUNTIF($D50:G50,"&gt;=0")=1),"BE + PAYBACK","BREAK-EVEN"),IF(AND(G50&gt;=0,COUNTIF($D50:G50,"&gt;=0")=1),"PAYBACK",""))</f>
        <v/>
      </c>
      <c r="H51" s="45">
        <f>IF(AND(H48&gt;0,COUNTIF($D48:H48,"&gt;0")=1),IF(AND(H50&gt;=0,COUNTIF($D50:H50,"&gt;=0")=1),"BE + PAYBACK","BREAK-EVEN"),IF(AND(H50&gt;=0,COUNTIF($D50:H50,"&gt;=0")=1),"PAYBACK",""))</f>
        <v/>
      </c>
      <c r="I51" s="45">
        <f>IF(AND(I48&gt;0,COUNTIF($D48:I48,"&gt;0")=1),IF(AND(I50&gt;=0,COUNTIF($D50:I50,"&gt;=0")=1),"BE + PAYBACK","BREAK-EVEN"),IF(AND(I50&gt;=0,COUNTIF($D50:I50,"&gt;=0")=1),"PAYBACK",""))</f>
        <v/>
      </c>
      <c r="J51" s="45">
        <f>IF(AND(J48&gt;0,COUNTIF($D48:J48,"&gt;0")=1),IF(AND(J50&gt;=0,COUNTIF($D50:J50,"&gt;=0")=1),"BE + PAYBACK","BREAK-EVEN"),IF(AND(J50&gt;=0,COUNTIF($D50:J50,"&gt;=0")=1),"PAYBACK",""))</f>
        <v/>
      </c>
      <c r="K51" s="45">
        <f>IF(AND(K48&gt;0,COUNTIF($D48:K48,"&gt;0")=1),IF(AND(K50&gt;=0,COUNTIF($D50:K50,"&gt;=0")=1),"BE + PAYBACK","BREAK-EVEN"),IF(AND(K50&gt;=0,COUNTIF($D50:K50,"&gt;=0")=1),"PAYBACK",""))</f>
        <v/>
      </c>
      <c r="L51" s="45">
        <f>IF(AND(L48&gt;0,COUNTIF($D48:L48,"&gt;0")=1),IF(AND(L50&gt;=0,COUNTIF($D50:L50,"&gt;=0")=1),"BE + PAYBACK","BREAK-EVEN"),IF(AND(L50&gt;=0,COUNTIF($D50:L50,"&gt;=0")=1),"PAYBACK",""))</f>
        <v/>
      </c>
      <c r="M51" s="45">
        <f>IF(AND(M48&gt;0,COUNTIF($D48:M48,"&gt;0")=1),IF(AND(M50&gt;=0,COUNTIF($D50:M50,"&gt;=0")=1),"BE + PAYBACK","BREAK-EVEN"),IF(AND(M50&gt;=0,COUNTIF($D50:M50,"&gt;=0")=1),"PAYBACK",""))</f>
        <v/>
      </c>
      <c r="N51" s="45">
        <f>IF(AND(N48&gt;0,COUNTIF($D48:N48,"&gt;0")=1),IF(AND(N50&gt;=0,COUNTIF($D50:N50,"&gt;=0")=1),"BE + PAYBACK","BREAK-EVEN"),IF(AND(N50&gt;=0,COUNTIF($D50:N50,"&gt;=0")=1),"PAYBACK",""))</f>
        <v/>
      </c>
      <c r="O51" s="45">
        <f>IF(AND(O48&gt;0,COUNTIF($D48:O48,"&gt;0")=1),IF(AND(O50&gt;=0,COUNTIF($D50:O50,"&gt;=0")=1),"BE + PAYBACK","BREAK-EVEN"),IF(AND(O50&gt;=0,COUNTIF($D50:O50,"&gt;=0")=1),"PAYBACK",""))</f>
        <v/>
      </c>
      <c r="P51" s="45">
        <f>IF(AND(P48&gt;0,COUNTIF($D48:P48,"&gt;0")=1),IF(AND(P50&gt;=0,COUNTIF($D50:P50,"&gt;=0")=1),"BE + PAYBACK","BREAK-EVEN"),IF(AND(P50&gt;=0,COUNTIF($D50:P50,"&gt;=0")=1),"PAYBACK",""))</f>
        <v/>
      </c>
      <c r="Q51" s="45">
        <f>IF(AND(Q48&gt;0,COUNTIF($D48:Q48,"&gt;0")=1),IF(AND(Q50&gt;=0,COUNTIF($D50:Q50,"&gt;=0")=1),"BE + PAYBACK","BREAK-EVEN"),IF(AND(Q50&gt;=0,COUNTIF($D50:Q50,"&gt;=0")=1),"PAYBACK",""))</f>
        <v/>
      </c>
      <c r="R51" s="45">
        <f>IF(AND(R48&gt;0,COUNTIF($D48:R48,"&gt;0")=1),IF(AND(R50&gt;=0,COUNTIF($D50:R50,"&gt;=0")=1),"BE + PAYBACK","BREAK-EVEN"),IF(AND(R50&gt;=0,COUNTIF($D50:R50,"&gt;=0")=1),"PAYBACK",""))</f>
        <v/>
      </c>
      <c r="S51" s="45">
        <f>IF(AND(S48&gt;0,COUNTIF($D48:S48,"&gt;0")=1),IF(AND(S50&gt;=0,COUNTIF($D50:S50,"&gt;=0")=1),"BE + PAYBACK","BREAK-EVEN"),IF(AND(S50&gt;=0,COUNTIF($D50:S50,"&gt;=0")=1),"PAYBACK",""))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conditionalFormatting sqref="D7:S7">
    <cfRule type="expression" priority="1" dxfId="0" stopIfTrue="1">
      <formula>AND(D7&gt;=$U$4,COUNTIF($D7:D7,"&gt;="&amp;$U$4)=1)</formula>
    </cfRule>
  </conditionalFormatting>
  <conditionalFormatting sqref="D48:S48">
    <cfRule type="expression" priority="2" dxfId="0" stopIfTrue="1">
      <formula>AND(D48&gt;0,COUNTIF($D48:D48,"&gt;0")=1)</formula>
    </cfRule>
  </conditionalFormatting>
  <conditionalFormatting sqref="D50:S50">
    <cfRule type="expression" priority="3" dxfId="1" stopIfTrue="1">
      <formula>AND(D50&gt;=0,COUNTIF($D50:D50,"&gt;=0")=1)</formula>
    </cfRule>
  </conditionalFormatting>
  <conditionalFormatting sqref="D51:S51">
    <cfRule type="expression" priority="4" dxfId="0" stopIfTrue="1">
      <formula>OR(D51="BREAK-EVEN",D51="BE + PAYBACK")</formula>
    </cfRule>
    <cfRule type="expression" priority="5" dxfId="1" stopIfTrue="1">
      <formula>D51="PAYBACK"</formula>
    </cfRule>
  </conditionalFormatting>
  <conditionalFormatting sqref="B7:S7">
    <cfRule type="expression" priority="6" dxfId="2">
      <formula>B7&gt;=$U$4</formula>
    </cfRule>
  </conditionalFormatting>
  <conditionalFormatting sqref="B48:S48">
    <cfRule type="cellIs" priority="7" operator="greaterThan" dxfId="2">
      <formula>0</formula>
    </cfRule>
  </conditionalFormatting>
  <conditionalFormatting sqref="B50:S50">
    <cfRule type="cellIs" priority="8" operator="greaterThanOrEqual" dxfId="2">
      <formula>0</formula>
    </cfRule>
  </conditionalFormatting>
  <conditionalFormatting sqref="D9:S9">
    <cfRule type="cellIs" priority="9" operator="greaterThan" dxfId="3">
      <formula>1</formula>
    </cfRule>
  </conditionalFormatting>
  <dataValidations count="1">
    <dataValidation sqref="B3:S3" showDropDown="0" showInputMessage="0" showErrorMessage="0" allowBlank="1" errorTitle="Valor inválido" error="Digite um número inteiro de matrículas (0 ou mais)." type="whole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6" customWidth="1" min="21" max="21"/>
  </cols>
  <sheetData>
    <row r="1">
      <c r="A1" s="4" t="inlineStr">
        <is>
          <t>Cenário Otimista</t>
        </is>
      </c>
      <c r="B1" s="23" t="inlineStr">
        <is>
          <t>Out (obras)</t>
        </is>
      </c>
      <c r="C1" s="23" t="inlineStr">
        <is>
          <t>Nov (obras)</t>
        </is>
      </c>
      <c r="D1" s="23" t="inlineStr">
        <is>
          <t>Dez (M1)</t>
        </is>
      </c>
      <c r="E1" s="23" t="inlineStr">
        <is>
          <t>Jan (M2)</t>
        </is>
      </c>
      <c r="F1" s="23" t="inlineStr">
        <is>
          <t>Fev (M3)</t>
        </is>
      </c>
      <c r="G1" s="23" t="inlineStr">
        <is>
          <t>Mar (M4)</t>
        </is>
      </c>
      <c r="H1" s="23" t="inlineStr">
        <is>
          <t>Abr (M5)</t>
        </is>
      </c>
      <c r="I1" s="23" t="inlineStr">
        <is>
          <t>Mai (M6)</t>
        </is>
      </c>
      <c r="J1" s="23" t="inlineStr">
        <is>
          <t>Jun (M7)</t>
        </is>
      </c>
      <c r="K1" s="23" t="inlineStr">
        <is>
          <t>Jul (M8)</t>
        </is>
      </c>
      <c r="L1" s="23" t="inlineStr">
        <is>
          <t>Ago (M9)</t>
        </is>
      </c>
      <c r="M1" s="23" t="inlineStr">
        <is>
          <t>Set (M10)</t>
        </is>
      </c>
      <c r="N1" s="23" t="inlineStr">
        <is>
          <t>Out (M11)</t>
        </is>
      </c>
      <c r="O1" s="23" t="inlineStr">
        <is>
          <t>Nov (M12)</t>
        </is>
      </c>
      <c r="P1" s="23" t="inlineStr">
        <is>
          <t>Dez (M13)</t>
        </is>
      </c>
      <c r="Q1" s="23" t="inlineStr">
        <is>
          <t>Jan (M14)</t>
        </is>
      </c>
      <c r="R1" s="23" t="inlineStr">
        <is>
          <t>Fev (M15)</t>
        </is>
      </c>
      <c r="S1" s="23" t="inlineStr">
        <is>
          <t>Mar (M16)</t>
        </is>
      </c>
    </row>
    <row r="2">
      <c r="A2" s="34" t="inlineStr">
        <is>
          <t>Período (0 = out)</t>
        </is>
      </c>
      <c r="B2" s="35" t="n">
        <v>0</v>
      </c>
      <c r="C2" s="35" t="n">
        <v>1</v>
      </c>
      <c r="D2" s="35" t="n">
        <v>2</v>
      </c>
      <c r="E2" s="35" t="n">
        <v>3</v>
      </c>
      <c r="F2" s="35" t="n">
        <v>4</v>
      </c>
      <c r="G2" s="35" t="n">
        <v>5</v>
      </c>
      <c r="H2" s="35" t="n">
        <v>6</v>
      </c>
      <c r="I2" s="35" t="n">
        <v>7</v>
      </c>
      <c r="J2" s="35" t="n">
        <v>8</v>
      </c>
      <c r="K2" s="35" t="n">
        <v>9</v>
      </c>
      <c r="L2" s="35" t="n">
        <v>10</v>
      </c>
      <c r="M2" s="35" t="n">
        <v>11</v>
      </c>
      <c r="N2" s="35" t="n">
        <v>12</v>
      </c>
      <c r="O2" s="35" t="n">
        <v>13</v>
      </c>
      <c r="P2" s="35" t="n">
        <v>14</v>
      </c>
      <c r="Q2" s="35" t="n">
        <v>15</v>
      </c>
      <c r="R2" s="35" t="n">
        <v>16</v>
      </c>
      <c r="S2" s="35" t="n">
        <v>17</v>
      </c>
    </row>
    <row r="3">
      <c r="A3" t="inlineStr">
        <is>
          <t>Matrículas — entrada manual  ✏️ editável</t>
        </is>
      </c>
      <c r="B3" s="13" t="n">
        <v>5</v>
      </c>
      <c r="C3" s="13" t="n">
        <v>40</v>
      </c>
      <c r="D3" s="13" t="n">
        <v>15</v>
      </c>
      <c r="E3" s="13" t="n">
        <v>35</v>
      </c>
      <c r="F3" s="13" t="n">
        <v>30</v>
      </c>
      <c r="G3" s="13" t="n">
        <v>20</v>
      </c>
      <c r="H3" s="13" t="n">
        <v>20</v>
      </c>
      <c r="I3" s="13" t="n">
        <v>20</v>
      </c>
      <c r="J3" s="13" t="n">
        <v>20</v>
      </c>
      <c r="K3" s="13" t="n">
        <v>40</v>
      </c>
      <c r="L3" s="13" t="n">
        <v>40</v>
      </c>
      <c r="M3" s="13" t="n">
        <v>20</v>
      </c>
      <c r="N3" s="13" t="n">
        <v>20</v>
      </c>
      <c r="O3" s="13" t="n">
        <v>40</v>
      </c>
      <c r="P3" s="13" t="n">
        <v>30</v>
      </c>
      <c r="Q3" s="13" t="n">
        <v>40</v>
      </c>
      <c r="R3" s="13" t="n">
        <v>40</v>
      </c>
      <c r="S3" s="13" t="n">
        <v>20</v>
      </c>
      <c r="U3" s="7" t="inlineStr">
        <is>
          <t>Break-even (alunos):</t>
        </is>
      </c>
    </row>
    <row r="4">
      <c r="A4" s="14" t="inlineStr">
        <is>
          <t>Matrículas no período (vale para o cálculo)</t>
        </is>
      </c>
      <c r="B4" s="36">
        <f>IF(Premissas!$B$59=3,'Canais de aquisição'!C$9,IF(Premissas!$B$59=2,ROUND('Custos mês a mês'!B$11/MAX(Premissas!$B$60,1),0),B3))</f>
        <v/>
      </c>
      <c r="C4" s="36">
        <f>IF(Premissas!$B$59=3,'Canais de aquisição'!D$9,IF(Premissas!$B$59=2,ROUND('Custos mês a mês'!C$11/MAX(Premissas!$B$60,1),0),C3))</f>
        <v/>
      </c>
      <c r="D4" s="36">
        <f>IF(Premissas!$B$59=3,'Canais de aquisição'!E$9,IF(Premissas!$B$59=2,ROUND('Custos mês a mês'!D$11/MAX(Premissas!$B$60,1),0),D3))</f>
        <v/>
      </c>
      <c r="E4" s="36">
        <f>IF(Premissas!$B$59=3,'Canais de aquisição'!F$9,IF(Premissas!$B$59=2,ROUND('Custos mês a mês'!E$11/MAX(Premissas!$B$60,1),0),E3))</f>
        <v/>
      </c>
      <c r="F4" s="36">
        <f>IF(Premissas!$B$59=3,'Canais de aquisição'!G$9,IF(Premissas!$B$59=2,ROUND('Custos mês a mês'!F$11/MAX(Premissas!$B$60,1),0),F3))</f>
        <v/>
      </c>
      <c r="G4" s="36">
        <f>IF(Premissas!$B$59=3,'Canais de aquisição'!H$9,IF(Premissas!$B$59=2,ROUND('Custos mês a mês'!G$11/MAX(Premissas!$B$60,1),0),G3))</f>
        <v/>
      </c>
      <c r="H4" s="36">
        <f>IF(Premissas!$B$59=3,'Canais de aquisição'!I$9,IF(Premissas!$B$59=2,ROUND('Custos mês a mês'!H$11/MAX(Premissas!$B$60,1),0),H3))</f>
        <v/>
      </c>
      <c r="I4" s="36">
        <f>IF(Premissas!$B$59=3,'Canais de aquisição'!J$9,IF(Premissas!$B$59=2,ROUND('Custos mês a mês'!I$11/MAX(Premissas!$B$60,1),0),I3))</f>
        <v/>
      </c>
      <c r="J4" s="36">
        <f>IF(Premissas!$B$59=3,'Canais de aquisição'!K$9,IF(Premissas!$B$59=2,ROUND('Custos mês a mês'!J$11/MAX(Premissas!$B$60,1),0),J3))</f>
        <v/>
      </c>
      <c r="K4" s="36">
        <f>IF(Premissas!$B$59=3,'Canais de aquisição'!L$9,IF(Premissas!$B$59=2,ROUND('Custos mês a mês'!K$11/MAX(Premissas!$B$60,1),0),K3))</f>
        <v/>
      </c>
      <c r="L4" s="36">
        <f>IF(Premissas!$B$59=3,'Canais de aquisição'!M$9,IF(Premissas!$B$59=2,ROUND('Custos mês a mês'!L$11/MAX(Premissas!$B$60,1),0),L3))</f>
        <v/>
      </c>
      <c r="M4" s="36">
        <f>IF(Premissas!$B$59=3,'Canais de aquisição'!N$9,IF(Premissas!$B$59=2,ROUND('Custos mês a mês'!M$11/MAX(Premissas!$B$60,1),0),M3))</f>
        <v/>
      </c>
      <c r="N4" s="36">
        <f>IF(Premissas!$B$59=3,'Canais de aquisição'!O$9,IF(Premissas!$B$59=2,ROUND('Custos mês a mês'!N$11/MAX(Premissas!$B$60,1),0),N3))</f>
        <v/>
      </c>
      <c r="O4" s="36">
        <f>IF(Premissas!$B$59=3,'Canais de aquisição'!P$9,IF(Premissas!$B$59=2,ROUND('Custos mês a mês'!O$11/MAX(Premissas!$B$60,1),0),O3))</f>
        <v/>
      </c>
      <c r="P4" s="36">
        <f>IF(Premissas!$B$59=3,'Canais de aquisição'!Q$9,IF(Premissas!$B$59=2,ROUND('Custos mês a mês'!P$11/MAX(Premissas!$B$60,1),0),P3))</f>
        <v/>
      </c>
      <c r="Q4" s="36">
        <f>IF(Premissas!$B$59=3,'Canais de aquisição'!R$9,IF(Premissas!$B$59=2,ROUND('Custos mês a mês'!Q$11/MAX(Premissas!$B$60,1),0),Q3))</f>
        <v/>
      </c>
      <c r="R4" s="36">
        <f>IF(Premissas!$B$59=3,'Canais de aquisição'!S$9,IF(Premissas!$B$59=2,ROUND('Custos mês a mês'!R$11/MAX(Premissas!$B$60,1),0),R3))</f>
        <v/>
      </c>
      <c r="S4" s="36">
        <f>IF(Premissas!$B$59=3,'Canais de aquisição'!T$9,IF(Premissas!$B$59=2,ROUND('Custos mês a mês'!S$11/MAX(Premissas!$B$60,1),0),S3))</f>
        <v/>
      </c>
      <c r="U4" s="37">
        <f>Premissas!$B$90</f>
        <v/>
      </c>
    </row>
    <row r="5">
      <c r="A5" t="inlineStr">
        <is>
          <t>CAC realizado (marketing + canais ÷ matrículas)</t>
        </is>
      </c>
      <c r="B5" s="29">
        <f>IF(B4=0,0,('Custos mês a mês'!B$11+'Canais de aquisição'!C$10)/B4)</f>
        <v/>
      </c>
      <c r="C5" s="29">
        <f>IF(C4=0,0,('Custos mês a mês'!C$11+'Canais de aquisição'!D$10)/C4)</f>
        <v/>
      </c>
      <c r="D5" s="29">
        <f>IF(D4=0,0,('Custos mês a mês'!D$11+'Canais de aquisição'!E$10)/D4)</f>
        <v/>
      </c>
      <c r="E5" s="29">
        <f>IF(E4=0,0,('Custos mês a mês'!E$11+'Canais de aquisição'!F$10)/E4)</f>
        <v/>
      </c>
      <c r="F5" s="29">
        <f>IF(F4=0,0,('Custos mês a mês'!F$11+'Canais de aquisição'!G$10)/F4)</f>
        <v/>
      </c>
      <c r="G5" s="29">
        <f>IF(G4=0,0,('Custos mês a mês'!G$11+'Canais de aquisição'!H$10)/G4)</f>
        <v/>
      </c>
      <c r="H5" s="29">
        <f>IF(H4=0,0,('Custos mês a mês'!H$11+'Canais de aquisição'!I$10)/H4)</f>
        <v/>
      </c>
      <c r="I5" s="29">
        <f>IF(I4=0,0,('Custos mês a mês'!I$11+'Canais de aquisição'!J$10)/I4)</f>
        <v/>
      </c>
      <c r="J5" s="29">
        <f>IF(J4=0,0,('Custos mês a mês'!J$11+'Canais de aquisição'!K$10)/J4)</f>
        <v/>
      </c>
      <c r="K5" s="29">
        <f>IF(K4=0,0,('Custos mês a mês'!K$11+'Canais de aquisição'!L$10)/K4)</f>
        <v/>
      </c>
      <c r="L5" s="29">
        <f>IF(L4=0,0,('Custos mês a mês'!L$11+'Canais de aquisição'!M$10)/L4)</f>
        <v/>
      </c>
      <c r="M5" s="29">
        <f>IF(M4=0,0,('Custos mês a mês'!M$11+'Canais de aquisição'!N$10)/M4)</f>
        <v/>
      </c>
      <c r="N5" s="29">
        <f>IF(N4=0,0,('Custos mês a mês'!N$11+'Canais de aquisição'!O$10)/N4)</f>
        <v/>
      </c>
      <c r="O5" s="29">
        <f>IF(O4=0,0,('Custos mês a mês'!O$11+'Canais de aquisição'!P$10)/O4)</f>
        <v/>
      </c>
      <c r="P5" s="29">
        <f>IF(P4=0,0,('Custos mês a mês'!P$11+'Canais de aquisição'!Q$10)/P4)</f>
        <v/>
      </c>
      <c r="Q5" s="29">
        <f>IF(Q4=0,0,('Custos mês a mês'!Q$11+'Canais de aquisição'!R$10)/Q4)</f>
        <v/>
      </c>
      <c r="R5" s="29">
        <f>IF(R4=0,0,('Custos mês a mês'!R$11+'Canais de aquisição'!S$10)/R4)</f>
        <v/>
      </c>
      <c r="S5" s="29">
        <f>IF(S4=0,0,('Custos mês a mês'!S$11+'Canais de aquisição'!T$10)/S4)</f>
        <v/>
      </c>
    </row>
    <row r="6">
      <c r="A6" t="inlineStr">
        <is>
          <t>Desistências no mês</t>
        </is>
      </c>
      <c r="B6" s="30" t="n">
        <v>0</v>
      </c>
      <c r="C6" s="30">
        <f>B7*Premissas!$B$8*Premissas!$B$55</f>
        <v/>
      </c>
      <c r="D6" s="30">
        <f>C7*Premissas!$B$8*Premissas!$B$56</f>
        <v/>
      </c>
      <c r="E6" s="30">
        <f>D7*Premissas!$B$8*Premissas!$B$45</f>
        <v/>
      </c>
      <c r="F6" s="30">
        <f>E7*Premissas!$B$8*Premissas!$B$46</f>
        <v/>
      </c>
      <c r="G6" s="30">
        <f>F7*Premissas!$B$8*Premissas!$B$47</f>
        <v/>
      </c>
      <c r="H6" s="30">
        <f>G7*Premissas!$B$8*Premissas!$B$48</f>
        <v/>
      </c>
      <c r="I6" s="30">
        <f>H7*Premissas!$B$8*Premissas!$B$49</f>
        <v/>
      </c>
      <c r="J6" s="30">
        <f>I7*Premissas!$B$8*Premissas!$B$50</f>
        <v/>
      </c>
      <c r="K6" s="30">
        <f>J7*Premissas!$B$8*Premissas!$B$51</f>
        <v/>
      </c>
      <c r="L6" s="30">
        <f>K7*Premissas!$B$8*Premissas!$B$52</f>
        <v/>
      </c>
      <c r="M6" s="30">
        <f>L7*Premissas!$B$8*Premissas!$B$53</f>
        <v/>
      </c>
      <c r="N6" s="30">
        <f>M7*Premissas!$B$8*Premissas!$B$54</f>
        <v/>
      </c>
      <c r="O6" s="30">
        <f>N7*Premissas!$B$8*Premissas!$B$55</f>
        <v/>
      </c>
      <c r="P6" s="30">
        <f>O7*Premissas!$B$8*Premissas!$B$56</f>
        <v/>
      </c>
      <c r="Q6" s="30">
        <f>P7*Premissas!$B$8*Premissas!$B$45</f>
        <v/>
      </c>
      <c r="R6" s="30">
        <f>Q7*Premissas!$B$8*Premissas!$B$46</f>
        <v/>
      </c>
      <c r="S6" s="30">
        <f>R7*Premissas!$B$8*Premissas!$B$47</f>
        <v/>
      </c>
      <c r="U6" s="38" t="inlineStr">
        <is>
          <t>🟢 VERDE FORTE = mês do BREAK-EVEN</t>
        </is>
      </c>
    </row>
    <row r="7">
      <c r="A7" s="14" t="inlineStr">
        <is>
          <t>Total de alunos</t>
        </is>
      </c>
      <c r="B7" s="39">
        <f>B4</f>
        <v/>
      </c>
      <c r="C7" s="39">
        <f>B7-C6+C4</f>
        <v/>
      </c>
      <c r="D7" s="39">
        <f>C7-D6+D4</f>
        <v/>
      </c>
      <c r="E7" s="39">
        <f>D7-E6+E4</f>
        <v/>
      </c>
      <c r="F7" s="39">
        <f>E7-F6+F4</f>
        <v/>
      </c>
      <c r="G7" s="39">
        <f>F7-G6+G4</f>
        <v/>
      </c>
      <c r="H7" s="39">
        <f>G7-H6+H4</f>
        <v/>
      </c>
      <c r="I7" s="39">
        <f>H7-I6+I4</f>
        <v/>
      </c>
      <c r="J7" s="39">
        <f>I7-J6+J4</f>
        <v/>
      </c>
      <c r="K7" s="39">
        <f>J7-K6+K4</f>
        <v/>
      </c>
      <c r="L7" s="39">
        <f>K7-L6+L4</f>
        <v/>
      </c>
      <c r="M7" s="39">
        <f>L7-M6+M4</f>
        <v/>
      </c>
      <c r="N7" s="39">
        <f>M7-N6+N4</f>
        <v/>
      </c>
      <c r="O7" s="39">
        <f>N7-O6+O4</f>
        <v/>
      </c>
      <c r="P7" s="39">
        <f>O7-P6+P4</f>
        <v/>
      </c>
      <c r="Q7" s="39">
        <f>P7-Q6+Q4</f>
        <v/>
      </c>
      <c r="R7" s="39">
        <f>Q7-R6+R4</f>
        <v/>
      </c>
      <c r="S7" s="39">
        <f>R7-S6+S4</f>
        <v/>
      </c>
      <c r="U7" s="40" t="inlineStr">
        <is>
          <t>🟦 AZUL = mês do PAYBACK</t>
        </is>
      </c>
    </row>
    <row r="8">
      <c r="A8" t="inlineStr">
        <is>
          <t>Professores necessários</t>
        </is>
      </c>
      <c r="B8" s="27" t="n">
        <v>0</v>
      </c>
      <c r="C8" s="27" t="n">
        <v>0</v>
      </c>
      <c r="D8" s="27">
        <f>CEILING(CEILING(D7*Premissas!$B$37/Premissas!$B$27,1)*Premissas!$B$28/Premissas!$B$34,1)+CEILING(CEILING(D7*Premissas!$B$38/Premissas!$B$30,1)*Premissas!$B$31/Premissas!$B$34,1)</f>
        <v/>
      </c>
      <c r="E8" s="27">
        <f>CEILING(CEILING(E7*Premissas!$B$37/Premissas!$B$27,1)*Premissas!$B$28/Premissas!$B$34,1)+CEILING(CEILING(E7*Premissas!$B$38/Premissas!$B$30,1)*Premissas!$B$31/Premissas!$B$34,1)</f>
        <v/>
      </c>
      <c r="F8" s="27">
        <f>CEILING(CEILING(F7*Premissas!$B$37/Premissas!$B$27,1)*Premissas!$B$28/Premissas!$B$34,1)+CEILING(CEILING(F7*Premissas!$B$38/Premissas!$B$30,1)*Premissas!$B$31/Premissas!$B$34,1)</f>
        <v/>
      </c>
      <c r="G8" s="27">
        <f>CEILING(CEILING(G7*Premissas!$B$37/Premissas!$B$27,1)*Premissas!$B$28/Premissas!$B$34,1)+CEILING(CEILING(G7*Premissas!$B$38/Premissas!$B$30,1)*Premissas!$B$31/Premissas!$B$34,1)</f>
        <v/>
      </c>
      <c r="H8" s="27">
        <f>CEILING(CEILING(H7*Premissas!$B$37/Premissas!$B$27,1)*Premissas!$B$28/Premissas!$B$34,1)+CEILING(CEILING(H7*Premissas!$B$38/Premissas!$B$30,1)*Premissas!$B$31/Premissas!$B$34,1)</f>
        <v/>
      </c>
      <c r="I8" s="27">
        <f>CEILING(CEILING(I7*Premissas!$B$37/Premissas!$B$27,1)*Premissas!$B$28/Premissas!$B$34,1)+CEILING(CEILING(I7*Premissas!$B$38/Premissas!$B$30,1)*Premissas!$B$31/Premissas!$B$34,1)</f>
        <v/>
      </c>
      <c r="J8" s="27">
        <f>CEILING(CEILING(J7*Premissas!$B$37/Premissas!$B$27,1)*Premissas!$B$28/Premissas!$B$34,1)+CEILING(CEILING(J7*Premissas!$B$38/Premissas!$B$30,1)*Premissas!$B$31/Premissas!$B$34,1)</f>
        <v/>
      </c>
      <c r="K8" s="27">
        <f>CEILING(CEILING(K7*Premissas!$B$37/Premissas!$B$27,1)*Premissas!$B$28/Premissas!$B$34,1)+CEILING(CEILING(K7*Premissas!$B$38/Premissas!$B$30,1)*Premissas!$B$31/Premissas!$B$34,1)</f>
        <v/>
      </c>
      <c r="L8" s="27">
        <f>CEILING(CEILING(L7*Premissas!$B$37/Premissas!$B$27,1)*Premissas!$B$28/Premissas!$B$34,1)+CEILING(CEILING(L7*Premissas!$B$38/Premissas!$B$30,1)*Premissas!$B$31/Premissas!$B$34,1)</f>
        <v/>
      </c>
      <c r="M8" s="27">
        <f>CEILING(CEILING(M7*Premissas!$B$37/Premissas!$B$27,1)*Premissas!$B$28/Premissas!$B$34,1)+CEILING(CEILING(M7*Premissas!$B$38/Premissas!$B$30,1)*Premissas!$B$31/Premissas!$B$34,1)</f>
        <v/>
      </c>
      <c r="N8" s="27">
        <f>CEILING(CEILING(N7*Premissas!$B$37/Premissas!$B$27,1)*Premissas!$B$28/Premissas!$B$34,1)+CEILING(CEILING(N7*Premissas!$B$38/Premissas!$B$30,1)*Premissas!$B$31/Premissas!$B$34,1)</f>
        <v/>
      </c>
      <c r="O8" s="27">
        <f>CEILING(CEILING(O7*Premissas!$B$37/Premissas!$B$27,1)*Premissas!$B$28/Premissas!$B$34,1)+CEILING(CEILING(O7*Premissas!$B$38/Premissas!$B$30,1)*Premissas!$B$31/Premissas!$B$34,1)</f>
        <v/>
      </c>
      <c r="P8" s="27">
        <f>CEILING(CEILING(P7*Premissas!$B$37/Premissas!$B$27,1)*Premissas!$B$28/Premissas!$B$34,1)+CEILING(CEILING(P7*Premissas!$B$38/Premissas!$B$30,1)*Premissas!$B$31/Premissas!$B$34,1)</f>
        <v/>
      </c>
      <c r="Q8" s="27">
        <f>CEILING(CEILING(Q7*Premissas!$B$37/Premissas!$B$27,1)*Premissas!$B$28/Premissas!$B$34,1)+CEILING(CEILING(Q7*Premissas!$B$38/Premissas!$B$30,1)*Premissas!$B$31/Premissas!$B$34,1)</f>
        <v/>
      </c>
      <c r="R8" s="27">
        <f>CEILING(CEILING(R7*Premissas!$B$37/Premissas!$B$27,1)*Premissas!$B$28/Premissas!$B$34,1)+CEILING(CEILING(R7*Premissas!$B$38/Premissas!$B$30,1)*Premissas!$B$31/Premissas!$B$34,1)</f>
        <v/>
      </c>
      <c r="S8" s="27">
        <f>CEILING(CEILING(S7*Premissas!$B$37/Premissas!$B$27,1)*Premissas!$B$28/Premissas!$B$34,1)+CEILING(CEILING(S7*Premissas!$B$38/Premissas!$B$30,1)*Premissas!$B$31/Premissas!$B$34,1)</f>
        <v/>
      </c>
      <c r="U8" s="41" t="inlineStr">
        <is>
          <t>🟩 verde claro = meses já positivos</t>
        </is>
      </c>
    </row>
    <row r="9">
      <c r="A9" t="inlineStr">
        <is>
          <t>Ocupação das salas (100% = grade cheia)</t>
        </is>
      </c>
      <c r="B9" s="28" t="n">
        <v>0</v>
      </c>
      <c r="C9" s="28" t="n">
        <v>0</v>
      </c>
      <c r="D9" s="28">
        <f>MAX(CEILING(D7*Premissas!$B$37/Premissas!$B$27,1)*Premissas!$B$28/(Premissas!$B$26*Premissas!$B$32*Premissas!$B$33*Premissas!$B$25),CEILING(D7*Premissas!$B$38/Premissas!$B$30,1)*Premissas!$B$31/(Premissas!$B$29*Premissas!$B$32*Premissas!$B$33*Premissas!$B$25))</f>
        <v/>
      </c>
      <c r="E9" s="28">
        <f>MAX(CEILING(E7*Premissas!$B$37/Premissas!$B$27,1)*Premissas!$B$28/(Premissas!$B$26*Premissas!$B$32*Premissas!$B$33*Premissas!$B$25),CEILING(E7*Premissas!$B$38/Premissas!$B$30,1)*Premissas!$B$31/(Premissas!$B$29*Premissas!$B$32*Premissas!$B$33*Premissas!$B$25))</f>
        <v/>
      </c>
      <c r="F9" s="28">
        <f>MAX(CEILING(F7*Premissas!$B$37/Premissas!$B$27,1)*Premissas!$B$28/(Premissas!$B$26*Premissas!$B$32*Premissas!$B$33*Premissas!$B$25),CEILING(F7*Premissas!$B$38/Premissas!$B$30,1)*Premissas!$B$31/(Premissas!$B$29*Premissas!$B$32*Premissas!$B$33*Premissas!$B$25))</f>
        <v/>
      </c>
      <c r="G9" s="28">
        <f>MAX(CEILING(G7*Premissas!$B$37/Premissas!$B$27,1)*Premissas!$B$28/(Premissas!$B$26*Premissas!$B$32*Premissas!$B$33*Premissas!$B$25),CEILING(G7*Premissas!$B$38/Premissas!$B$30,1)*Premissas!$B$31/(Premissas!$B$29*Premissas!$B$32*Premissas!$B$33*Premissas!$B$25))</f>
        <v/>
      </c>
      <c r="H9" s="28">
        <f>MAX(CEILING(H7*Premissas!$B$37/Premissas!$B$27,1)*Premissas!$B$28/(Premissas!$B$26*Premissas!$B$32*Premissas!$B$33*Premissas!$B$25),CEILING(H7*Premissas!$B$38/Premissas!$B$30,1)*Premissas!$B$31/(Premissas!$B$29*Premissas!$B$32*Premissas!$B$33*Premissas!$B$25))</f>
        <v/>
      </c>
      <c r="I9" s="28">
        <f>MAX(CEILING(I7*Premissas!$B$37/Premissas!$B$27,1)*Premissas!$B$28/(Premissas!$B$26*Premissas!$B$32*Premissas!$B$33*Premissas!$B$25),CEILING(I7*Premissas!$B$38/Premissas!$B$30,1)*Premissas!$B$31/(Premissas!$B$29*Premissas!$B$32*Premissas!$B$33*Premissas!$B$25))</f>
        <v/>
      </c>
      <c r="J9" s="28">
        <f>MAX(CEILING(J7*Premissas!$B$37/Premissas!$B$27,1)*Premissas!$B$28/(Premissas!$B$26*Premissas!$B$32*Premissas!$B$33*Premissas!$B$25),CEILING(J7*Premissas!$B$38/Premissas!$B$30,1)*Premissas!$B$31/(Premissas!$B$29*Premissas!$B$32*Premissas!$B$33*Premissas!$B$25))</f>
        <v/>
      </c>
      <c r="K9" s="28">
        <f>MAX(CEILING(K7*Premissas!$B$37/Premissas!$B$27,1)*Premissas!$B$28/(Premissas!$B$26*Premissas!$B$32*Premissas!$B$33*Premissas!$B$25),CEILING(K7*Premissas!$B$38/Premissas!$B$30,1)*Premissas!$B$31/(Premissas!$B$29*Premissas!$B$32*Premissas!$B$33*Premissas!$B$25))</f>
        <v/>
      </c>
      <c r="L9" s="28">
        <f>MAX(CEILING(L7*Premissas!$B$37/Premissas!$B$27,1)*Premissas!$B$28/(Premissas!$B$26*Premissas!$B$32*Premissas!$B$33*Premissas!$B$25),CEILING(L7*Premissas!$B$38/Premissas!$B$30,1)*Premissas!$B$31/(Premissas!$B$29*Premissas!$B$32*Premissas!$B$33*Premissas!$B$25))</f>
        <v/>
      </c>
      <c r="M9" s="28">
        <f>MAX(CEILING(M7*Premissas!$B$37/Premissas!$B$27,1)*Premissas!$B$28/(Premissas!$B$26*Premissas!$B$32*Premissas!$B$33*Premissas!$B$25),CEILING(M7*Premissas!$B$38/Premissas!$B$30,1)*Premissas!$B$31/(Premissas!$B$29*Premissas!$B$32*Premissas!$B$33*Premissas!$B$25))</f>
        <v/>
      </c>
      <c r="N9" s="28">
        <f>MAX(CEILING(N7*Premissas!$B$37/Premissas!$B$27,1)*Premissas!$B$28/(Premissas!$B$26*Premissas!$B$32*Premissas!$B$33*Premissas!$B$25),CEILING(N7*Premissas!$B$38/Premissas!$B$30,1)*Premissas!$B$31/(Premissas!$B$29*Premissas!$B$32*Premissas!$B$33*Premissas!$B$25))</f>
        <v/>
      </c>
      <c r="O9" s="28">
        <f>MAX(CEILING(O7*Premissas!$B$37/Premissas!$B$27,1)*Premissas!$B$28/(Premissas!$B$26*Premissas!$B$32*Premissas!$B$33*Premissas!$B$25),CEILING(O7*Premissas!$B$38/Premissas!$B$30,1)*Premissas!$B$31/(Premissas!$B$29*Premissas!$B$32*Premissas!$B$33*Premissas!$B$25))</f>
        <v/>
      </c>
      <c r="P9" s="28">
        <f>MAX(CEILING(P7*Premissas!$B$37/Premissas!$B$27,1)*Premissas!$B$28/(Premissas!$B$26*Premissas!$B$32*Premissas!$B$33*Premissas!$B$25),CEILING(P7*Premissas!$B$38/Premissas!$B$30,1)*Premissas!$B$31/(Premissas!$B$29*Premissas!$B$32*Premissas!$B$33*Premissas!$B$25))</f>
        <v/>
      </c>
      <c r="Q9" s="28">
        <f>MAX(CEILING(Q7*Premissas!$B$37/Premissas!$B$27,1)*Premissas!$B$28/(Premissas!$B$26*Premissas!$B$32*Premissas!$B$33*Premissas!$B$25),CEILING(Q7*Premissas!$B$38/Premissas!$B$30,1)*Premissas!$B$31/(Premissas!$B$29*Premissas!$B$32*Premissas!$B$33*Premissas!$B$25))</f>
        <v/>
      </c>
      <c r="R9" s="28">
        <f>MAX(CEILING(R7*Premissas!$B$37/Premissas!$B$27,1)*Premissas!$B$28/(Premissas!$B$26*Premissas!$B$32*Premissas!$B$33*Premissas!$B$25),CEILING(R7*Premissas!$B$38/Premissas!$B$30,1)*Premissas!$B$31/(Premissas!$B$29*Premissas!$B$32*Premissas!$B$33*Premissas!$B$25))</f>
        <v/>
      </c>
      <c r="S9" s="28">
        <f>MAX(CEILING(S7*Premissas!$B$37/Premissas!$B$27,1)*Premissas!$B$28/(Premissas!$B$26*Premissas!$B$32*Premissas!$B$33*Premissas!$B$25),CEILING(S7*Premissas!$B$38/Premissas!$B$30,1)*Premissas!$B$31/(Premissas!$B$29*Premissas!$B$32*Premissas!$B$33*Premissas!$B$25))</f>
        <v/>
      </c>
    </row>
    <row r="11">
      <c r="A11" s="8" t="inlineStr">
        <is>
          <t>RECEITA RECEBIDA (caixa)</t>
        </is>
      </c>
    </row>
    <row r="12">
      <c r="A12" t="inlineStr">
        <is>
          <t>Matrícula</t>
        </is>
      </c>
      <c r="B12" s="29">
        <f>B4*Premissas!$B$3</f>
        <v/>
      </c>
      <c r="C12" s="29">
        <f>C4*Premissas!$B$3</f>
        <v/>
      </c>
      <c r="D12" s="29">
        <f>D4*Premissas!$B$3</f>
        <v/>
      </c>
      <c r="E12" s="29">
        <f>E4*Premissas!$B$3</f>
        <v/>
      </c>
      <c r="F12" s="29">
        <f>F4*Premissas!$B$3</f>
        <v/>
      </c>
      <c r="G12" s="29">
        <f>G4*Premissas!$B$3</f>
        <v/>
      </c>
      <c r="H12" s="29">
        <f>H4*Premissas!$B$3</f>
        <v/>
      </c>
      <c r="I12" s="29">
        <f>I4*Premissas!$B$3</f>
        <v/>
      </c>
      <c r="J12" s="29">
        <f>J4*Premissas!$B$3</f>
        <v/>
      </c>
      <c r="K12" s="29">
        <f>K4*Premissas!$B$3</f>
        <v/>
      </c>
      <c r="L12" s="29">
        <f>L4*Premissas!$B$3</f>
        <v/>
      </c>
      <c r="M12" s="29">
        <f>M4*Premissas!$B$3</f>
        <v/>
      </c>
      <c r="N12" s="29">
        <f>N4*Premissas!$B$3</f>
        <v/>
      </c>
      <c r="O12" s="29">
        <f>O4*Premissas!$B$3</f>
        <v/>
      </c>
      <c r="P12" s="29">
        <f>P4*Premissas!$B$3</f>
        <v/>
      </c>
      <c r="Q12" s="29">
        <f>Q4*Premissas!$B$3</f>
        <v/>
      </c>
      <c r="R12" s="29">
        <f>R4*Premissas!$B$3</f>
        <v/>
      </c>
      <c r="S12" s="29">
        <f>S4*Premissas!$B$3</f>
        <v/>
      </c>
    </row>
    <row r="13">
      <c r="A13" t="inlineStr">
        <is>
          <t>Mensalidade recebida (líq. de inadimplência)</t>
        </is>
      </c>
      <c r="B13" s="29" t="n">
        <v>0</v>
      </c>
      <c r="C13" s="29" t="n">
        <v>0</v>
      </c>
      <c r="D13" s="29">
        <f>C7*Premissas!$B$2*(1-Premissas!$B$9)</f>
        <v/>
      </c>
      <c r="E13" s="29">
        <f>D7*Premissas!$B$2*(1-Premissas!$B$9)</f>
        <v/>
      </c>
      <c r="F13" s="29">
        <f>E7*Premissas!$B$2*(1-Premissas!$B$9)</f>
        <v/>
      </c>
      <c r="G13" s="29">
        <f>F7*Premissas!$B$2*(1-Premissas!$B$9)</f>
        <v/>
      </c>
      <c r="H13" s="29">
        <f>G7*Premissas!$B$2*(1-Premissas!$B$9)</f>
        <v/>
      </c>
      <c r="I13" s="29">
        <f>H7*Premissas!$B$2*(1-Premissas!$B$9)</f>
        <v/>
      </c>
      <c r="J13" s="29">
        <f>I7*Premissas!$B$2*(1-Premissas!$B$9)</f>
        <v/>
      </c>
      <c r="K13" s="29">
        <f>J7*Premissas!$B$2*(1-Premissas!$B$9)</f>
        <v/>
      </c>
      <c r="L13" s="29">
        <f>K7*Premissas!$B$2*(1-Premissas!$B$9)</f>
        <v/>
      </c>
      <c r="M13" s="29">
        <f>L7*Premissas!$B$2*(1-Premissas!$B$9)</f>
        <v/>
      </c>
      <c r="N13" s="29">
        <f>M7*Premissas!$B$2*(1-Premissas!$B$9)</f>
        <v/>
      </c>
      <c r="O13" s="29">
        <f>N7*Premissas!$B$2*(1-Premissas!$B$9)</f>
        <v/>
      </c>
      <c r="P13" s="29">
        <f>O7*Premissas!$B$2*(1-Premissas!$B$9)</f>
        <v/>
      </c>
      <c r="Q13" s="29">
        <f>P7*Premissas!$B$2*(1-Premissas!$B$9)</f>
        <v/>
      </c>
      <c r="R13" s="29">
        <f>Q7*Premissas!$B$2*(1-Premissas!$B$9)</f>
        <v/>
      </c>
      <c r="S13" s="29">
        <f>R7*Premissas!$B$2*(1-Premissas!$B$9)</f>
        <v/>
      </c>
    </row>
    <row r="14">
      <c r="A14" t="inlineStr">
        <is>
          <t>Material antecipado no cartão</t>
        </is>
      </c>
      <c r="B14" s="29">
        <f>B4*Premissas!$B$5</f>
        <v/>
      </c>
      <c r="C14" s="29">
        <f>C4*Premissas!$B$5</f>
        <v/>
      </c>
      <c r="D14" s="29">
        <f>D4*Premissas!$B$5</f>
        <v/>
      </c>
      <c r="E14" s="29">
        <f>E4*Premissas!$B$5</f>
        <v/>
      </c>
      <c r="F14" s="29">
        <f>F4*Premissas!$B$5</f>
        <v/>
      </c>
      <c r="G14" s="29">
        <f>G4*Premissas!$B$5</f>
        <v/>
      </c>
      <c r="H14" s="29">
        <f>H4*Premissas!$B$5</f>
        <v/>
      </c>
      <c r="I14" s="29">
        <f>I4*Premissas!$B$5</f>
        <v/>
      </c>
      <c r="J14" s="29">
        <f>J4*Premissas!$B$5</f>
        <v/>
      </c>
      <c r="K14" s="29">
        <f>K4*Premissas!$B$5</f>
        <v/>
      </c>
      <c r="L14" s="29">
        <f>L4*Premissas!$B$5</f>
        <v/>
      </c>
      <c r="M14" s="29">
        <f>M4*Premissas!$B$5</f>
        <v/>
      </c>
      <c r="N14" s="29">
        <f>N4*Premissas!$B$5</f>
        <v/>
      </c>
      <c r="O14" s="29">
        <f>O4*Premissas!$B$5</f>
        <v/>
      </c>
      <c r="P14" s="29">
        <f>P4*Premissas!$B$5</f>
        <v/>
      </c>
      <c r="Q14" s="29">
        <f>Q4*Premissas!$B$5</f>
        <v/>
      </c>
      <c r="R14" s="29">
        <f>R4*Premissas!$B$5</f>
        <v/>
      </c>
      <c r="S14" s="29">
        <f>S4*Premissas!$B$5</f>
        <v/>
      </c>
    </row>
    <row r="15">
      <c r="A15" s="42" t="inlineStr">
        <is>
          <t>Receita recebida</t>
        </is>
      </c>
      <c r="B15" s="24">
        <f>SUM(B12:B14)</f>
        <v/>
      </c>
      <c r="C15" s="24">
        <f>SUM(C12:C14)</f>
        <v/>
      </c>
      <c r="D15" s="24">
        <f>SUM(D12:D14)</f>
        <v/>
      </c>
      <c r="E15" s="24">
        <f>SUM(E12:E14)</f>
        <v/>
      </c>
      <c r="F15" s="24">
        <f>SUM(F12:F14)</f>
        <v/>
      </c>
      <c r="G15" s="24">
        <f>SUM(G12:G14)</f>
        <v/>
      </c>
      <c r="H15" s="24">
        <f>SUM(H12:H14)</f>
        <v/>
      </c>
      <c r="I15" s="24">
        <f>SUM(I12:I14)</f>
        <v/>
      </c>
      <c r="J15" s="24">
        <f>SUM(J12:J14)</f>
        <v/>
      </c>
      <c r="K15" s="24">
        <f>SUM(K12:K14)</f>
        <v/>
      </c>
      <c r="L15" s="24">
        <f>SUM(L12:L14)</f>
        <v/>
      </c>
      <c r="M15" s="24">
        <f>SUM(M12:M14)</f>
        <v/>
      </c>
      <c r="N15" s="24">
        <f>SUM(N12:N14)</f>
        <v/>
      </c>
      <c r="O15" s="24">
        <f>SUM(O12:O14)</f>
        <v/>
      </c>
      <c r="P15" s="24">
        <f>SUM(P12:P14)</f>
        <v/>
      </c>
      <c r="Q15" s="24">
        <f>SUM(Q12:Q14)</f>
        <v/>
      </c>
      <c r="R15" s="24">
        <f>SUM(R12:R14)</f>
        <v/>
      </c>
      <c r="S15" s="24">
        <f>SUM(S12:S14)</f>
        <v/>
      </c>
    </row>
    <row r="17">
      <c r="A17" s="8" t="inlineStr">
        <is>
          <t>BASE DO SIMPLES NACIONAL</t>
        </is>
      </c>
    </row>
    <row r="18">
      <c r="A18" t="inlineStr">
        <is>
          <t>Faturamento do mês (nota emitida)</t>
        </is>
      </c>
      <c r="B18" s="29">
        <f>B4*Premissas!$B$3+B4*Premissas!$B$4</f>
        <v/>
      </c>
      <c r="C18" s="29">
        <f>C4*Premissas!$B$3+C4*Premissas!$B$4</f>
        <v/>
      </c>
      <c r="D18" s="29">
        <f>D4*Premissas!$B$3+C7*Premissas!$B$2+D4*Premissas!$B$4</f>
        <v/>
      </c>
      <c r="E18" s="29">
        <f>E4*Premissas!$B$3+D7*Premissas!$B$2+E4*Premissas!$B$4</f>
        <v/>
      </c>
      <c r="F18" s="29">
        <f>F4*Premissas!$B$3+E7*Premissas!$B$2+F4*Premissas!$B$4</f>
        <v/>
      </c>
      <c r="G18" s="29">
        <f>G4*Premissas!$B$3+F7*Premissas!$B$2+G4*Premissas!$B$4</f>
        <v/>
      </c>
      <c r="H18" s="29">
        <f>H4*Premissas!$B$3+G7*Premissas!$B$2+H4*Premissas!$B$4</f>
        <v/>
      </c>
      <c r="I18" s="29">
        <f>I4*Premissas!$B$3+H7*Premissas!$B$2+I4*Premissas!$B$4</f>
        <v/>
      </c>
      <c r="J18" s="29">
        <f>J4*Premissas!$B$3+I7*Premissas!$B$2+J4*Premissas!$B$4</f>
        <v/>
      </c>
      <c r="K18" s="29">
        <f>K4*Premissas!$B$3+J7*Premissas!$B$2+K4*Premissas!$B$4</f>
        <v/>
      </c>
      <c r="L18" s="29">
        <f>L4*Premissas!$B$3+K7*Premissas!$B$2+L4*Premissas!$B$4</f>
        <v/>
      </c>
      <c r="M18" s="29">
        <f>M4*Premissas!$B$3+L7*Premissas!$B$2+M4*Premissas!$B$4</f>
        <v/>
      </c>
      <c r="N18" s="29">
        <f>N4*Premissas!$B$3+M7*Premissas!$B$2+N4*Premissas!$B$4</f>
        <v/>
      </c>
      <c r="O18" s="29">
        <f>O4*Premissas!$B$3+N7*Premissas!$B$2+O4*Premissas!$B$4</f>
        <v/>
      </c>
      <c r="P18" s="29">
        <f>P4*Premissas!$B$3+O7*Premissas!$B$2+P4*Premissas!$B$4</f>
        <v/>
      </c>
      <c r="Q18" s="29">
        <f>Q4*Premissas!$B$3+P7*Premissas!$B$2+Q4*Premissas!$B$4</f>
        <v/>
      </c>
      <c r="R18" s="29">
        <f>R4*Premissas!$B$3+Q7*Premissas!$B$2+R4*Premissas!$B$4</f>
        <v/>
      </c>
      <c r="S18" s="29">
        <f>S4*Premissas!$B$3+R7*Premissas!$B$2+S4*Premissas!$B$4</f>
        <v/>
      </c>
    </row>
    <row r="19">
      <c r="A19" t="inlineStr">
        <is>
          <t>RBT12 proporcionalizado</t>
        </is>
      </c>
      <c r="B19" s="29">
        <f>SUM($B$18:B18)/1*12</f>
        <v/>
      </c>
      <c r="C19" s="29">
        <f>SUM($B$18:C18)/2*12</f>
        <v/>
      </c>
      <c r="D19" s="29">
        <f>SUM($B$18:D18)/3*12</f>
        <v/>
      </c>
      <c r="E19" s="29">
        <f>SUM($B$18:E18)/4*12</f>
        <v/>
      </c>
      <c r="F19" s="29">
        <f>SUM($B$18:F18)/5*12</f>
        <v/>
      </c>
      <c r="G19" s="29">
        <f>SUM($B$18:G18)/6*12</f>
        <v/>
      </c>
      <c r="H19" s="29">
        <f>SUM($B$18:H18)/7*12</f>
        <v/>
      </c>
      <c r="I19" s="29">
        <f>SUM($B$18:I18)/8*12</f>
        <v/>
      </c>
      <c r="J19" s="29">
        <f>SUM($B$18:J18)/9*12</f>
        <v/>
      </c>
      <c r="K19" s="29">
        <f>SUM($B$18:K18)/10*12</f>
        <v/>
      </c>
      <c r="L19" s="29">
        <f>SUM($B$18:L18)/11*12</f>
        <v/>
      </c>
      <c r="M19" s="29">
        <f>SUM(B18:M18)</f>
        <v/>
      </c>
      <c r="N19" s="29">
        <f>SUM(C18:N18)</f>
        <v/>
      </c>
      <c r="O19" s="29">
        <f>SUM(D18:O18)</f>
        <v/>
      </c>
      <c r="P19" s="29">
        <f>SUM(E18:P18)</f>
        <v/>
      </c>
      <c r="Q19" s="29">
        <f>SUM(F18:Q18)</f>
        <v/>
      </c>
      <c r="R19" s="29">
        <f>SUM(G18:R18)</f>
        <v/>
      </c>
      <c r="S19" s="29">
        <f>SUM(H18:S18)</f>
        <v/>
      </c>
    </row>
    <row r="20">
      <c r="A20" s="14" t="inlineStr">
        <is>
          <t>Alíquota efetiva do Simples</t>
        </is>
      </c>
      <c r="B20" s="43">
        <f>IF(B19=0,Premissas!$C$66,IF(B19&lt;=Premissas!$B$66,(B19*Premissas!$C$66-Premissas!$D$66)/B19,IF(B19&lt;=Premissas!$B$67,(B19*Premissas!$C$67-Premissas!$D$67)/B19,IF(B19&lt;=Premissas!$B$68,(B19*Premissas!$C$68-Premissas!$D$68)/B19,IF(B19&lt;=Premissas!$B$69,(B19*Premissas!$C$69-Premissas!$D$69)/B19,IF(B19&lt;=Premissas!$B$70,(B19*Premissas!$C$70-Premissas!$D$70)/B19,(B19*Premissas!$C$71-Premissas!$D$71)/B19))))))</f>
        <v/>
      </c>
      <c r="C20" s="43">
        <f>IF(C19=0,Premissas!$C$66,IF(C19&lt;=Premissas!$B$66,(C19*Premissas!$C$66-Premissas!$D$66)/C19,IF(C19&lt;=Premissas!$B$67,(C19*Premissas!$C$67-Premissas!$D$67)/C19,IF(C19&lt;=Premissas!$B$68,(C19*Premissas!$C$68-Premissas!$D$68)/C19,IF(C19&lt;=Premissas!$B$69,(C19*Premissas!$C$69-Premissas!$D$69)/C19,IF(C19&lt;=Premissas!$B$70,(C19*Premissas!$C$70-Premissas!$D$70)/C19,(C19*Premissas!$C$71-Premissas!$D$71)/C19))))))</f>
        <v/>
      </c>
      <c r="D20" s="43">
        <f>IF(D19=0,Premissas!$C$66,IF(D19&lt;=Premissas!$B$66,(D19*Premissas!$C$66-Premissas!$D$66)/D19,IF(D19&lt;=Premissas!$B$67,(D19*Premissas!$C$67-Premissas!$D$67)/D19,IF(D19&lt;=Premissas!$B$68,(D19*Premissas!$C$68-Premissas!$D$68)/D19,IF(D19&lt;=Premissas!$B$69,(D19*Premissas!$C$69-Premissas!$D$69)/D19,IF(D19&lt;=Premissas!$B$70,(D19*Premissas!$C$70-Premissas!$D$70)/D19,(D19*Premissas!$C$71-Premissas!$D$71)/D19))))))</f>
        <v/>
      </c>
      <c r="E20" s="43">
        <f>IF(E19=0,Premissas!$C$66,IF(E19&lt;=Premissas!$B$66,(E19*Premissas!$C$66-Premissas!$D$66)/E19,IF(E19&lt;=Premissas!$B$67,(E19*Premissas!$C$67-Premissas!$D$67)/E19,IF(E19&lt;=Premissas!$B$68,(E19*Premissas!$C$68-Premissas!$D$68)/E19,IF(E19&lt;=Premissas!$B$69,(E19*Premissas!$C$69-Premissas!$D$69)/E19,IF(E19&lt;=Premissas!$B$70,(E19*Premissas!$C$70-Premissas!$D$70)/E19,(E19*Premissas!$C$71-Premissas!$D$71)/E19))))))</f>
        <v/>
      </c>
      <c r="F20" s="43">
        <f>IF(F19=0,Premissas!$C$66,IF(F19&lt;=Premissas!$B$66,(F19*Premissas!$C$66-Premissas!$D$66)/F19,IF(F19&lt;=Premissas!$B$67,(F19*Premissas!$C$67-Premissas!$D$67)/F19,IF(F19&lt;=Premissas!$B$68,(F19*Premissas!$C$68-Premissas!$D$68)/F19,IF(F19&lt;=Premissas!$B$69,(F19*Premissas!$C$69-Premissas!$D$69)/F19,IF(F19&lt;=Premissas!$B$70,(F19*Premissas!$C$70-Premissas!$D$70)/F19,(F19*Premissas!$C$71-Premissas!$D$71)/F19))))))</f>
        <v/>
      </c>
      <c r="G20" s="43">
        <f>IF(G19=0,Premissas!$C$66,IF(G19&lt;=Premissas!$B$66,(G19*Premissas!$C$66-Premissas!$D$66)/G19,IF(G19&lt;=Premissas!$B$67,(G19*Premissas!$C$67-Premissas!$D$67)/G19,IF(G19&lt;=Premissas!$B$68,(G19*Premissas!$C$68-Premissas!$D$68)/G19,IF(G19&lt;=Premissas!$B$69,(G19*Premissas!$C$69-Premissas!$D$69)/G19,IF(G19&lt;=Premissas!$B$70,(G19*Premissas!$C$70-Premissas!$D$70)/G19,(G19*Premissas!$C$71-Premissas!$D$71)/G19))))))</f>
        <v/>
      </c>
      <c r="H20" s="43">
        <f>IF(H19=0,Premissas!$C$66,IF(H19&lt;=Premissas!$B$66,(H19*Premissas!$C$66-Premissas!$D$66)/H19,IF(H19&lt;=Premissas!$B$67,(H19*Premissas!$C$67-Premissas!$D$67)/H19,IF(H19&lt;=Premissas!$B$68,(H19*Premissas!$C$68-Premissas!$D$68)/H19,IF(H19&lt;=Premissas!$B$69,(H19*Premissas!$C$69-Premissas!$D$69)/H19,IF(H19&lt;=Premissas!$B$70,(H19*Premissas!$C$70-Premissas!$D$70)/H19,(H19*Premissas!$C$71-Premissas!$D$71)/H19))))))</f>
        <v/>
      </c>
      <c r="I20" s="43">
        <f>IF(I19=0,Premissas!$C$66,IF(I19&lt;=Premissas!$B$66,(I19*Premissas!$C$66-Premissas!$D$66)/I19,IF(I19&lt;=Premissas!$B$67,(I19*Premissas!$C$67-Premissas!$D$67)/I19,IF(I19&lt;=Premissas!$B$68,(I19*Premissas!$C$68-Premissas!$D$68)/I19,IF(I19&lt;=Premissas!$B$69,(I19*Premissas!$C$69-Premissas!$D$69)/I19,IF(I19&lt;=Premissas!$B$70,(I19*Premissas!$C$70-Premissas!$D$70)/I19,(I19*Premissas!$C$71-Premissas!$D$71)/I19))))))</f>
        <v/>
      </c>
      <c r="J20" s="43">
        <f>IF(J19=0,Premissas!$C$66,IF(J19&lt;=Premissas!$B$66,(J19*Premissas!$C$66-Premissas!$D$66)/J19,IF(J19&lt;=Premissas!$B$67,(J19*Premissas!$C$67-Premissas!$D$67)/J19,IF(J19&lt;=Premissas!$B$68,(J19*Premissas!$C$68-Premissas!$D$68)/J19,IF(J19&lt;=Premissas!$B$69,(J19*Premissas!$C$69-Premissas!$D$69)/J19,IF(J19&lt;=Premissas!$B$70,(J19*Premissas!$C$70-Premissas!$D$70)/J19,(J19*Premissas!$C$71-Premissas!$D$71)/J19))))))</f>
        <v/>
      </c>
      <c r="K20" s="43">
        <f>IF(K19=0,Premissas!$C$66,IF(K19&lt;=Premissas!$B$66,(K19*Premissas!$C$66-Premissas!$D$66)/K19,IF(K19&lt;=Premissas!$B$67,(K19*Premissas!$C$67-Premissas!$D$67)/K19,IF(K19&lt;=Premissas!$B$68,(K19*Premissas!$C$68-Premissas!$D$68)/K19,IF(K19&lt;=Premissas!$B$69,(K19*Premissas!$C$69-Premissas!$D$69)/K19,IF(K19&lt;=Premissas!$B$70,(K19*Premissas!$C$70-Premissas!$D$70)/K19,(K19*Premissas!$C$71-Premissas!$D$71)/K19))))))</f>
        <v/>
      </c>
      <c r="L20" s="43">
        <f>IF(L19=0,Premissas!$C$66,IF(L19&lt;=Premissas!$B$66,(L19*Premissas!$C$66-Premissas!$D$66)/L19,IF(L19&lt;=Premissas!$B$67,(L19*Premissas!$C$67-Premissas!$D$67)/L19,IF(L19&lt;=Premissas!$B$68,(L19*Premissas!$C$68-Premissas!$D$68)/L19,IF(L19&lt;=Premissas!$B$69,(L19*Premissas!$C$69-Premissas!$D$69)/L19,IF(L19&lt;=Premissas!$B$70,(L19*Premissas!$C$70-Premissas!$D$70)/L19,(L19*Premissas!$C$71-Premissas!$D$71)/L19))))))</f>
        <v/>
      </c>
      <c r="M20" s="43">
        <f>IF(M19=0,Premissas!$C$66,IF(M19&lt;=Premissas!$B$66,(M19*Premissas!$C$66-Premissas!$D$66)/M19,IF(M19&lt;=Premissas!$B$67,(M19*Premissas!$C$67-Premissas!$D$67)/M19,IF(M19&lt;=Premissas!$B$68,(M19*Premissas!$C$68-Premissas!$D$68)/M19,IF(M19&lt;=Premissas!$B$69,(M19*Premissas!$C$69-Premissas!$D$69)/M19,IF(M19&lt;=Premissas!$B$70,(M19*Premissas!$C$70-Premissas!$D$70)/M19,(M19*Premissas!$C$71-Premissas!$D$71)/M19))))))</f>
        <v/>
      </c>
      <c r="N20" s="43">
        <f>IF(N19=0,Premissas!$C$66,IF(N19&lt;=Premissas!$B$66,(N19*Premissas!$C$66-Premissas!$D$66)/N19,IF(N19&lt;=Premissas!$B$67,(N19*Premissas!$C$67-Premissas!$D$67)/N19,IF(N19&lt;=Premissas!$B$68,(N19*Premissas!$C$68-Premissas!$D$68)/N19,IF(N19&lt;=Premissas!$B$69,(N19*Premissas!$C$69-Premissas!$D$69)/N19,IF(N19&lt;=Premissas!$B$70,(N19*Premissas!$C$70-Premissas!$D$70)/N19,(N19*Premissas!$C$71-Premissas!$D$71)/N19))))))</f>
        <v/>
      </c>
      <c r="O20" s="43">
        <f>IF(O19=0,Premissas!$C$66,IF(O19&lt;=Premissas!$B$66,(O19*Premissas!$C$66-Premissas!$D$66)/O19,IF(O19&lt;=Premissas!$B$67,(O19*Premissas!$C$67-Premissas!$D$67)/O19,IF(O19&lt;=Premissas!$B$68,(O19*Premissas!$C$68-Premissas!$D$68)/O19,IF(O19&lt;=Premissas!$B$69,(O19*Premissas!$C$69-Premissas!$D$69)/O19,IF(O19&lt;=Premissas!$B$70,(O19*Premissas!$C$70-Premissas!$D$70)/O19,(O19*Premissas!$C$71-Premissas!$D$71)/O19))))))</f>
        <v/>
      </c>
      <c r="P20" s="43">
        <f>IF(P19=0,Premissas!$C$66,IF(P19&lt;=Premissas!$B$66,(P19*Premissas!$C$66-Premissas!$D$66)/P19,IF(P19&lt;=Premissas!$B$67,(P19*Premissas!$C$67-Premissas!$D$67)/P19,IF(P19&lt;=Premissas!$B$68,(P19*Premissas!$C$68-Premissas!$D$68)/P19,IF(P19&lt;=Premissas!$B$69,(P19*Premissas!$C$69-Premissas!$D$69)/P19,IF(P19&lt;=Premissas!$B$70,(P19*Premissas!$C$70-Premissas!$D$70)/P19,(P19*Premissas!$C$71-Premissas!$D$71)/P19))))))</f>
        <v/>
      </c>
      <c r="Q20" s="43">
        <f>IF(Q19=0,Premissas!$C$66,IF(Q19&lt;=Premissas!$B$66,(Q19*Premissas!$C$66-Premissas!$D$66)/Q19,IF(Q19&lt;=Premissas!$B$67,(Q19*Premissas!$C$67-Premissas!$D$67)/Q19,IF(Q19&lt;=Premissas!$B$68,(Q19*Premissas!$C$68-Premissas!$D$68)/Q19,IF(Q19&lt;=Premissas!$B$69,(Q19*Premissas!$C$69-Premissas!$D$69)/Q19,IF(Q19&lt;=Premissas!$B$70,(Q19*Premissas!$C$70-Premissas!$D$70)/Q19,(Q19*Premissas!$C$71-Premissas!$D$71)/Q19))))))</f>
        <v/>
      </c>
      <c r="R20" s="43">
        <f>IF(R19=0,Premissas!$C$66,IF(R19&lt;=Premissas!$B$66,(R19*Premissas!$C$66-Premissas!$D$66)/R19,IF(R19&lt;=Premissas!$B$67,(R19*Premissas!$C$67-Premissas!$D$67)/R19,IF(R19&lt;=Premissas!$B$68,(R19*Premissas!$C$68-Premissas!$D$68)/R19,IF(R19&lt;=Premissas!$B$69,(R19*Premissas!$C$69-Premissas!$D$69)/R19,IF(R19&lt;=Premissas!$B$70,(R19*Premissas!$C$70-Premissas!$D$70)/R19,(R19*Premissas!$C$71-Premissas!$D$71)/R19))))))</f>
        <v/>
      </c>
      <c r="S20" s="43">
        <f>IF(S19=0,Premissas!$C$66,IF(S19&lt;=Premissas!$B$66,(S19*Premissas!$C$66-Premissas!$D$66)/S19,IF(S19&lt;=Premissas!$B$67,(S19*Premissas!$C$67-Premissas!$D$67)/S19,IF(S19&lt;=Premissas!$B$68,(S19*Premissas!$C$68-Premissas!$D$68)/S19,IF(S19&lt;=Premissas!$B$69,(S19*Premissas!$C$69-Premissas!$D$69)/S19,IF(S19&lt;=Premissas!$B$70,(S19*Premissas!$C$70-Premissas!$D$70)/S19,(S19*Premissas!$C$71-Premissas!$D$71)/S19))))))</f>
        <v/>
      </c>
    </row>
    <row r="22">
      <c r="A22" s="8" t="inlineStr">
        <is>
          <t>DESPESAS</t>
        </is>
      </c>
    </row>
    <row r="23">
      <c r="A23" t="inlineStr">
        <is>
          <t>Impostos (Simples progressivo)</t>
        </is>
      </c>
      <c r="B23" s="29">
        <f>B18*B20</f>
        <v/>
      </c>
      <c r="C23" s="29">
        <f>C18*C20</f>
        <v/>
      </c>
      <c r="D23" s="29">
        <f>D18*D20</f>
        <v/>
      </c>
      <c r="E23" s="29">
        <f>E18*E20</f>
        <v/>
      </c>
      <c r="F23" s="29">
        <f>F18*F20</f>
        <v/>
      </c>
      <c r="G23" s="29">
        <f>G18*G20</f>
        <v/>
      </c>
      <c r="H23" s="29">
        <f>H18*H20</f>
        <v/>
      </c>
      <c r="I23" s="29">
        <f>I18*I20</f>
        <v/>
      </c>
      <c r="J23" s="29">
        <f>J18*J20</f>
        <v/>
      </c>
      <c r="K23" s="29">
        <f>K18*K20</f>
        <v/>
      </c>
      <c r="L23" s="29">
        <f>L18*L20</f>
        <v/>
      </c>
      <c r="M23" s="29">
        <f>M18*M20</f>
        <v/>
      </c>
      <c r="N23" s="29">
        <f>N18*N20</f>
        <v/>
      </c>
      <c r="O23" s="29">
        <f>O18*O20</f>
        <v/>
      </c>
      <c r="P23" s="29">
        <f>P18*P20</f>
        <v/>
      </c>
      <c r="Q23" s="29">
        <f>Q18*Q20</f>
        <v/>
      </c>
      <c r="R23" s="29">
        <f>R18*R20</f>
        <v/>
      </c>
      <c r="S23" s="29">
        <f>S18*S20</f>
        <v/>
      </c>
    </row>
    <row r="24">
      <c r="A24" t="inlineStr">
        <is>
          <t>Material — parcelas 12x</t>
        </is>
      </c>
      <c r="B24" s="29" t="n">
        <v>0</v>
      </c>
      <c r="C24" s="29" t="n">
        <v>0</v>
      </c>
      <c r="D24" s="29">
        <f>SUM($B$4:D4)*Premissas!$B$6/12</f>
        <v/>
      </c>
      <c r="E24" s="29">
        <f>SUM($B$4:E4)*Premissas!$B$6/12</f>
        <v/>
      </c>
      <c r="F24" s="29">
        <f>SUM($B$4:F4)*Premissas!$B$6/12</f>
        <v/>
      </c>
      <c r="G24" s="29">
        <f>SUM($B$4:G4)*Premissas!$B$6/12</f>
        <v/>
      </c>
      <c r="H24" s="29">
        <f>SUM($B$4:H4)*Premissas!$B$6/12</f>
        <v/>
      </c>
      <c r="I24" s="29">
        <f>SUM($B$4:I4)*Premissas!$B$6/12</f>
        <v/>
      </c>
      <c r="J24" s="29">
        <f>SUM($B$4:J4)*Premissas!$B$6/12</f>
        <v/>
      </c>
      <c r="K24" s="29">
        <f>SUM($B$4:K4)*Premissas!$B$6/12</f>
        <v/>
      </c>
      <c r="L24" s="29">
        <f>SUM($B$4:L4)*Premissas!$B$6/12</f>
        <v/>
      </c>
      <c r="M24" s="29">
        <f>SUM($B$4:M4)*Premissas!$B$6/12</f>
        <v/>
      </c>
      <c r="N24" s="29">
        <f>SUM($B$4:N4)*Premissas!$B$6/12</f>
        <v/>
      </c>
      <c r="O24" s="29">
        <f>SUM($B$4:O4)*Premissas!$B$6/12</f>
        <v/>
      </c>
      <c r="P24" s="29">
        <f>SUM(E4:P4)*Premissas!$B$6/12</f>
        <v/>
      </c>
      <c r="Q24" s="29">
        <f>SUM(F4:Q4)*Premissas!$B$6/12</f>
        <v/>
      </c>
      <c r="R24" s="29">
        <f>SUM(G4:R4)*Premissas!$B$6/12</f>
        <v/>
      </c>
      <c r="S24" s="29">
        <f>SUM(H4:S4)*Premissas!$B$6/12</f>
        <v/>
      </c>
    </row>
    <row r="25">
      <c r="A25" t="inlineStr">
        <is>
          <t>Comissão do vendedor</t>
        </is>
      </c>
      <c r="B25" s="29">
        <f>IF(B2&gt;=Premissas!$D$14,B4*Premissas!$B$10*(1+Premissas!$B$11),0)</f>
        <v/>
      </c>
      <c r="C25" s="29">
        <f>IF(C2&gt;=Premissas!$D$14,C4*Premissas!$B$10*(1+Premissas!$B$11),0)</f>
        <v/>
      </c>
      <c r="D25" s="29">
        <f>IF(D2&gt;=Premissas!$D$14,D4*Premissas!$B$10*(1+Premissas!$B$11),0)</f>
        <v/>
      </c>
      <c r="E25" s="29">
        <f>IF(E2&gt;=Premissas!$D$14,E4*Premissas!$B$10*(1+Premissas!$B$11),0)</f>
        <v/>
      </c>
      <c r="F25" s="29">
        <f>IF(F2&gt;=Premissas!$D$14,F4*Premissas!$B$10*(1+Premissas!$B$11),0)</f>
        <v/>
      </c>
      <c r="G25" s="29">
        <f>IF(G2&gt;=Premissas!$D$14,G4*Premissas!$B$10*(1+Premissas!$B$11),0)</f>
        <v/>
      </c>
      <c r="H25" s="29">
        <f>IF(H2&gt;=Premissas!$D$14,H4*Premissas!$B$10*(1+Premissas!$B$11),0)</f>
        <v/>
      </c>
      <c r="I25" s="29">
        <f>IF(I2&gt;=Premissas!$D$14,I4*Premissas!$B$10*(1+Premissas!$B$11),0)</f>
        <v/>
      </c>
      <c r="J25" s="29">
        <f>IF(J2&gt;=Premissas!$D$14,J4*Premissas!$B$10*(1+Premissas!$B$11),0)</f>
        <v/>
      </c>
      <c r="K25" s="29">
        <f>IF(K2&gt;=Premissas!$D$14,K4*Premissas!$B$10*(1+Premissas!$B$11),0)</f>
        <v/>
      </c>
      <c r="L25" s="29">
        <f>IF(L2&gt;=Premissas!$D$14,L4*Premissas!$B$10*(1+Premissas!$B$11),0)</f>
        <v/>
      </c>
      <c r="M25" s="29">
        <f>IF(M2&gt;=Premissas!$D$14,M4*Premissas!$B$10*(1+Premissas!$B$11),0)</f>
        <v/>
      </c>
      <c r="N25" s="29">
        <f>IF(N2&gt;=Premissas!$D$14,N4*Premissas!$B$10*(1+Premissas!$B$11),0)</f>
        <v/>
      </c>
      <c r="O25" s="29">
        <f>IF(O2&gt;=Premissas!$D$14,O4*Premissas!$B$10*(1+Premissas!$B$11),0)</f>
        <v/>
      </c>
      <c r="P25" s="29">
        <f>IF(P2&gt;=Premissas!$D$14,P4*Premissas!$B$10*(1+Premissas!$B$11),0)</f>
        <v/>
      </c>
      <c r="Q25" s="29">
        <f>IF(Q2&gt;=Premissas!$D$14,Q4*Premissas!$B$10*(1+Premissas!$B$11),0)</f>
        <v/>
      </c>
      <c r="R25" s="29">
        <f>IF(R2&gt;=Premissas!$D$14,R4*Premissas!$B$10*(1+Premissas!$B$11),0)</f>
        <v/>
      </c>
      <c r="S25" s="29">
        <f>IF(S2&gt;=Premissas!$D$14,S4*Premissas!$B$10*(1+Premissas!$B$11),0)</f>
        <v/>
      </c>
    </row>
    <row r="26">
      <c r="A26" t="inlineStr">
        <is>
          <t>Aquisição de alunos (custo dos canais)</t>
        </is>
      </c>
      <c r="B26" s="29">
        <f>'Canais de aquisição'!C$10</f>
        <v/>
      </c>
      <c r="C26" s="29">
        <f>'Canais de aquisição'!D$10</f>
        <v/>
      </c>
      <c r="D26" s="29">
        <f>'Canais de aquisição'!E$10</f>
        <v/>
      </c>
      <c r="E26" s="29">
        <f>'Canais de aquisição'!F$10</f>
        <v/>
      </c>
      <c r="F26" s="29">
        <f>'Canais de aquisição'!G$10</f>
        <v/>
      </c>
      <c r="G26" s="29">
        <f>'Canais de aquisição'!H$10</f>
        <v/>
      </c>
      <c r="H26" s="29">
        <f>'Canais de aquisição'!I$10</f>
        <v/>
      </c>
      <c r="I26" s="29">
        <f>'Canais de aquisição'!J$10</f>
        <v/>
      </c>
      <c r="J26" s="29">
        <f>'Canais de aquisição'!K$10</f>
        <v/>
      </c>
      <c r="K26" s="29">
        <f>'Canais de aquisição'!L$10</f>
        <v/>
      </c>
      <c r="L26" s="29">
        <f>'Canais de aquisição'!M$10</f>
        <v/>
      </c>
      <c r="M26" s="29">
        <f>'Canais de aquisição'!N$10</f>
        <v/>
      </c>
      <c r="N26" s="29">
        <f>'Canais de aquisição'!O$10</f>
        <v/>
      </c>
      <c r="O26" s="29">
        <f>'Canais de aquisição'!P$10</f>
        <v/>
      </c>
      <c r="P26" s="29">
        <f>'Canais de aquisição'!Q$10</f>
        <v/>
      </c>
      <c r="Q26" s="29">
        <f>'Canais de aquisição'!R$10</f>
        <v/>
      </c>
      <c r="R26" s="29">
        <f>'Canais de aquisição'!S$10</f>
        <v/>
      </c>
      <c r="S26" s="29">
        <f>'Canais de aquisição'!T$10</f>
        <v/>
      </c>
    </row>
    <row r="27">
      <c r="A27" t="inlineStr">
        <is>
          <t>Folha + encargos mensais (só quem já entrou)</t>
        </is>
      </c>
      <c r="B27" s="29">
        <f>SUMPRODUCT((Premissas!$D$14:$D$20&lt;=B2)*Premissas!$B$14:$B$20*(1+Premissas!$C$14:$C$20*Premissas!$B$11))</f>
        <v/>
      </c>
      <c r="C27" s="29">
        <f>SUMPRODUCT((Premissas!$D$14:$D$20&lt;=C2)*Premissas!$B$14:$B$20*(1+Premissas!$C$14:$C$20*Premissas!$B$11))</f>
        <v/>
      </c>
      <c r="D27" s="29">
        <f>SUMPRODUCT((Premissas!$D$14:$D$20&lt;=D2)*Premissas!$B$14:$B$20*(1+Premissas!$C$14:$C$20*Premissas!$B$11))</f>
        <v/>
      </c>
      <c r="E27" s="29">
        <f>SUMPRODUCT((Premissas!$D$14:$D$20&lt;=E2)*Premissas!$B$14:$B$20*(1+Premissas!$C$14:$C$20*Premissas!$B$11))</f>
        <v/>
      </c>
      <c r="F27" s="29">
        <f>SUMPRODUCT((Premissas!$D$14:$D$20&lt;=F2)*Premissas!$B$14:$B$20*(1+Premissas!$C$14:$C$20*Premissas!$B$11))</f>
        <v/>
      </c>
      <c r="G27" s="29">
        <f>SUMPRODUCT((Premissas!$D$14:$D$20&lt;=G2)*Premissas!$B$14:$B$20*(1+Premissas!$C$14:$C$20*Premissas!$B$11))</f>
        <v/>
      </c>
      <c r="H27" s="29">
        <f>SUMPRODUCT((Premissas!$D$14:$D$20&lt;=H2)*Premissas!$B$14:$B$20*(1+Premissas!$C$14:$C$20*Premissas!$B$11))</f>
        <v/>
      </c>
      <c r="I27" s="29">
        <f>SUMPRODUCT((Premissas!$D$14:$D$20&lt;=I2)*Premissas!$B$14:$B$20*(1+Premissas!$C$14:$C$20*Premissas!$B$11))</f>
        <v/>
      </c>
      <c r="J27" s="29">
        <f>SUMPRODUCT((Premissas!$D$14:$D$20&lt;=J2)*Premissas!$B$14:$B$20*(1+Premissas!$C$14:$C$20*Premissas!$B$11))</f>
        <v/>
      </c>
      <c r="K27" s="29">
        <f>SUMPRODUCT((Premissas!$D$14:$D$20&lt;=K2)*Premissas!$B$14:$B$20*(1+Premissas!$C$14:$C$20*Premissas!$B$11))</f>
        <v/>
      </c>
      <c r="L27" s="29">
        <f>SUMPRODUCT((Premissas!$D$14:$D$20&lt;=L2)*Premissas!$B$14:$B$20*(1+Premissas!$C$14:$C$20*Premissas!$B$11))</f>
        <v/>
      </c>
      <c r="M27" s="29">
        <f>SUMPRODUCT((Premissas!$D$14:$D$20&lt;=M2)*Premissas!$B$14:$B$20*(1+Premissas!$C$14:$C$20*Premissas!$B$11))</f>
        <v/>
      </c>
      <c r="N27" s="29">
        <f>SUMPRODUCT((Premissas!$D$14:$D$20&lt;=N2)*Premissas!$B$14:$B$20*(1+Premissas!$C$14:$C$20*Premissas!$B$11))</f>
        <v/>
      </c>
      <c r="O27" s="29">
        <f>SUMPRODUCT((Premissas!$D$14:$D$20&lt;=O2)*Premissas!$B$14:$B$20*(1+Premissas!$C$14:$C$20*Premissas!$B$11))</f>
        <v/>
      </c>
      <c r="P27" s="29">
        <f>SUMPRODUCT((Premissas!$D$14:$D$20&lt;=P2)*Premissas!$B$14:$B$20*(1+Premissas!$C$14:$C$20*Premissas!$B$11))</f>
        <v/>
      </c>
      <c r="Q27" s="29">
        <f>SUMPRODUCT((Premissas!$D$14:$D$20&lt;=Q2)*Premissas!$B$14:$B$20*(1+Premissas!$C$14:$C$20*Premissas!$B$11))</f>
        <v/>
      </c>
      <c r="R27" s="29">
        <f>SUMPRODUCT((Premissas!$D$14:$D$20&lt;=R2)*Premissas!$B$14:$B$20*(1+Premissas!$C$14:$C$20*Premissas!$B$11))</f>
        <v/>
      </c>
      <c r="S27" s="29">
        <f>SUMPRODUCT((Premissas!$D$14:$D$20&lt;=S2)*Premissas!$B$14:$B$20*(1+Premissas!$C$14:$C$20*Premissas!$B$11))</f>
        <v/>
      </c>
    </row>
    <row r="28">
      <c r="A28" t="inlineStr">
        <is>
          <t>Vale-transporte / benefícios</t>
        </is>
      </c>
      <c r="B28" s="29">
        <f>SUMPRODUCT((Premissas!$D$14:$D$20&lt;=B2)*Premissas!$C$14:$C$20*(Premissas!$B$14:$B$20&gt;0))*Premissas!$B$12</f>
        <v/>
      </c>
      <c r="C28" s="29">
        <f>SUMPRODUCT((Premissas!$D$14:$D$20&lt;=C2)*Premissas!$C$14:$C$20*(Premissas!$B$14:$B$20&gt;0))*Premissas!$B$12</f>
        <v/>
      </c>
      <c r="D28" s="29">
        <f>SUMPRODUCT((Premissas!$D$14:$D$20&lt;=D2)*Premissas!$C$14:$C$20*(Premissas!$B$14:$B$20&gt;0))*Premissas!$B$12</f>
        <v/>
      </c>
      <c r="E28" s="29">
        <f>SUMPRODUCT((Premissas!$D$14:$D$20&lt;=E2)*Premissas!$C$14:$C$20*(Premissas!$B$14:$B$20&gt;0))*Premissas!$B$12</f>
        <v/>
      </c>
      <c r="F28" s="29">
        <f>SUMPRODUCT((Premissas!$D$14:$D$20&lt;=F2)*Premissas!$C$14:$C$20*(Premissas!$B$14:$B$20&gt;0))*Premissas!$B$12</f>
        <v/>
      </c>
      <c r="G28" s="29">
        <f>SUMPRODUCT((Premissas!$D$14:$D$20&lt;=G2)*Premissas!$C$14:$C$20*(Premissas!$B$14:$B$20&gt;0))*Premissas!$B$12</f>
        <v/>
      </c>
      <c r="H28" s="29">
        <f>SUMPRODUCT((Premissas!$D$14:$D$20&lt;=H2)*Premissas!$C$14:$C$20*(Premissas!$B$14:$B$20&gt;0))*Premissas!$B$12</f>
        <v/>
      </c>
      <c r="I28" s="29">
        <f>SUMPRODUCT((Premissas!$D$14:$D$20&lt;=I2)*Premissas!$C$14:$C$20*(Premissas!$B$14:$B$20&gt;0))*Premissas!$B$12</f>
        <v/>
      </c>
      <c r="J28" s="29">
        <f>SUMPRODUCT((Premissas!$D$14:$D$20&lt;=J2)*Premissas!$C$14:$C$20*(Premissas!$B$14:$B$20&gt;0))*Premissas!$B$12</f>
        <v/>
      </c>
      <c r="K28" s="29">
        <f>SUMPRODUCT((Premissas!$D$14:$D$20&lt;=K2)*Premissas!$C$14:$C$20*(Premissas!$B$14:$B$20&gt;0))*Premissas!$B$12</f>
        <v/>
      </c>
      <c r="L28" s="29">
        <f>SUMPRODUCT((Premissas!$D$14:$D$20&lt;=L2)*Premissas!$C$14:$C$20*(Premissas!$B$14:$B$20&gt;0))*Premissas!$B$12</f>
        <v/>
      </c>
      <c r="M28" s="29">
        <f>SUMPRODUCT((Premissas!$D$14:$D$20&lt;=M2)*Premissas!$C$14:$C$20*(Premissas!$B$14:$B$20&gt;0))*Premissas!$B$12</f>
        <v/>
      </c>
      <c r="N28" s="29">
        <f>SUMPRODUCT((Premissas!$D$14:$D$20&lt;=N2)*Premissas!$C$14:$C$20*(Premissas!$B$14:$B$20&gt;0))*Premissas!$B$12</f>
        <v/>
      </c>
      <c r="O28" s="29">
        <f>SUMPRODUCT((Premissas!$D$14:$D$20&lt;=O2)*Premissas!$C$14:$C$20*(Premissas!$B$14:$B$20&gt;0))*Premissas!$B$12</f>
        <v/>
      </c>
      <c r="P28" s="29">
        <f>SUMPRODUCT((Premissas!$D$14:$D$20&lt;=P2)*Premissas!$C$14:$C$20*(Premissas!$B$14:$B$20&gt;0))*Premissas!$B$12</f>
        <v/>
      </c>
      <c r="Q28" s="29">
        <f>SUMPRODUCT((Premissas!$D$14:$D$20&lt;=Q2)*Premissas!$C$14:$C$20*(Premissas!$B$14:$B$20&gt;0))*Premissas!$B$12</f>
        <v/>
      </c>
      <c r="R28" s="29">
        <f>SUMPRODUCT((Premissas!$D$14:$D$20&lt;=R2)*Premissas!$C$14:$C$20*(Premissas!$B$14:$B$20&gt;0))*Premissas!$B$12</f>
        <v/>
      </c>
      <c r="S28" s="29">
        <f>SUMPRODUCT((Premissas!$D$14:$D$20&lt;=S2)*Premissas!$C$14:$C$20*(Premissas!$B$14:$B$20&gt;0))*Premissas!$B$12</f>
        <v/>
      </c>
    </row>
    <row r="29">
      <c r="A29" t="inlineStr">
        <is>
          <t>13º e férias (desembolso)</t>
        </is>
      </c>
      <c r="B29" s="29" t="n">
        <v>0</v>
      </c>
      <c r="C29" s="29" t="n">
        <v>0</v>
      </c>
      <c r="D29" s="29">
        <f>Premissas!$B$41*SUMPRODUCT((Premissas!$D$14:$D$20&lt;=2)*Premissas!$C$14:$C$20*Premissas!$B$14:$B$20*(2-((Premissas!$D$14:$D$20&gt;0)*Premissas!$D$14:$D$20+(Premissas!$D$14:$D$20&lt;=0)*0)+1)/12)+0</f>
        <v/>
      </c>
      <c r="E29" s="29" t="n">
        <v>0</v>
      </c>
      <c r="F29" s="29" t="n">
        <v>0</v>
      </c>
      <c r="G29" s="29" t="n">
        <v>0</v>
      </c>
      <c r="H29" s="29" t="n">
        <v>0</v>
      </c>
      <c r="I29" s="29" t="n">
        <v>0</v>
      </c>
      <c r="J29" s="29" t="n">
        <v>0</v>
      </c>
      <c r="K29" s="29" t="n">
        <v>0</v>
      </c>
      <c r="L29" s="29" t="n">
        <v>0</v>
      </c>
      <c r="M29" s="29" t="n">
        <v>0</v>
      </c>
      <c r="N29" s="29">
        <f>0+Premissas!$B$42*SUMPRODUCT((Premissas!$D$14:$D$20=0)*Premissas!$C$14:$C$20*Premissas!$B$14:$B$20)*4/3</f>
        <v/>
      </c>
      <c r="O29" s="29">
        <f>0+Premissas!$B$42*SUMPRODUCT((Premissas!$D$14:$D$20=1)*Premissas!$C$14:$C$20*Premissas!$B$14:$B$20)*4/3</f>
        <v/>
      </c>
      <c r="P29" s="29">
        <f>Premissas!$B$41*SUMPRODUCT((Premissas!$D$14:$D$20&lt;=14)*Premissas!$C$14:$C$20*Premissas!$B$14:$B$20*(14-((Premissas!$D$14:$D$20&gt;3)*Premissas!$D$14:$D$20+(Premissas!$D$14:$D$20&lt;=3)*3)+1)/12)+Premissas!$B$42*SUMPRODUCT((Premissas!$D$14:$D$20=2)*Premissas!$C$14:$C$20*Premissas!$B$14:$B$20)*4/3</f>
        <v/>
      </c>
      <c r="Q29" s="29">
        <f>0+Premissas!$B$42*SUMPRODUCT((Premissas!$D$14:$D$20=3)*Premissas!$C$14:$C$20*Premissas!$B$14:$B$20)*4/3</f>
        <v/>
      </c>
      <c r="R29" s="29">
        <f>0+Premissas!$B$42*SUMPRODUCT((Premissas!$D$14:$D$20=4)*Premissas!$C$14:$C$20*Premissas!$B$14:$B$20)*4/3</f>
        <v/>
      </c>
      <c r="S29" s="29">
        <f>0+Premissas!$B$42*SUMPRODUCT((Premissas!$D$14:$D$20=5)*Premissas!$C$14:$C$20*Premissas!$B$14:$B$20)*4/3</f>
        <v/>
      </c>
    </row>
    <row r="30">
      <c r="A30" t="inlineStr">
        <is>
          <t>Professores (salário + encargos)</t>
        </is>
      </c>
      <c r="B30" s="29" t="n">
        <v>0</v>
      </c>
      <c r="C30" s="29" t="n">
        <v>0</v>
      </c>
      <c r="D30" s="29">
        <f>D8*Premissas!$B$35</f>
        <v/>
      </c>
      <c r="E30" s="29">
        <f>E8*Premissas!$B$35</f>
        <v/>
      </c>
      <c r="F30" s="29">
        <f>F8*Premissas!$B$35</f>
        <v/>
      </c>
      <c r="G30" s="29">
        <f>G8*Premissas!$B$35</f>
        <v/>
      </c>
      <c r="H30" s="29">
        <f>H8*Premissas!$B$35</f>
        <v/>
      </c>
      <c r="I30" s="29">
        <f>I8*Premissas!$B$35</f>
        <v/>
      </c>
      <c r="J30" s="29">
        <f>J8*Premissas!$B$35</f>
        <v/>
      </c>
      <c r="K30" s="29">
        <f>K8*Premissas!$B$35</f>
        <v/>
      </c>
      <c r="L30" s="29">
        <f>L8*Premissas!$B$35</f>
        <v/>
      </c>
      <c r="M30" s="29">
        <f>M8*Premissas!$B$35</f>
        <v/>
      </c>
      <c r="N30" s="29">
        <f>N8*Premissas!$B$35</f>
        <v/>
      </c>
      <c r="O30" s="29">
        <f>O8*Premissas!$B$35</f>
        <v/>
      </c>
      <c r="P30" s="29">
        <f>P8*Premissas!$B$35</f>
        <v/>
      </c>
      <c r="Q30" s="29">
        <f>Q8*Premissas!$B$35</f>
        <v/>
      </c>
      <c r="R30" s="29">
        <f>R8*Premissas!$B$35</f>
        <v/>
      </c>
      <c r="S30" s="29">
        <f>S8*Premissas!$B$35</f>
        <v/>
      </c>
    </row>
    <row r="31">
      <c r="A31" t="inlineStr">
        <is>
          <t>Aluguel do espaço</t>
        </is>
      </c>
      <c r="B31" s="29">
        <f>'Custos mês a mês'!B2</f>
        <v/>
      </c>
      <c r="C31" s="29">
        <f>'Custos mês a mês'!C2</f>
        <v/>
      </c>
      <c r="D31" s="29">
        <f>'Custos mês a mês'!D2</f>
        <v/>
      </c>
      <c r="E31" s="29">
        <f>'Custos mês a mês'!E2</f>
        <v/>
      </c>
      <c r="F31" s="29">
        <f>'Custos mês a mês'!F2</f>
        <v/>
      </c>
      <c r="G31" s="29">
        <f>'Custos mês a mês'!G2</f>
        <v/>
      </c>
      <c r="H31" s="29">
        <f>'Custos mês a mês'!H2</f>
        <v/>
      </c>
      <c r="I31" s="29">
        <f>'Custos mês a mês'!I2</f>
        <v/>
      </c>
      <c r="J31" s="29">
        <f>'Custos mês a mês'!J2</f>
        <v/>
      </c>
      <c r="K31" s="29">
        <f>'Custos mês a mês'!K2</f>
        <v/>
      </c>
      <c r="L31" s="29">
        <f>'Custos mês a mês'!L2</f>
        <v/>
      </c>
      <c r="M31" s="29">
        <f>'Custos mês a mês'!M2</f>
        <v/>
      </c>
      <c r="N31" s="29">
        <f>'Custos mês a mês'!N2</f>
        <v/>
      </c>
      <c r="O31" s="29">
        <f>'Custos mês a mês'!O2</f>
        <v/>
      </c>
      <c r="P31" s="29">
        <f>'Custos mês a mês'!P2</f>
        <v/>
      </c>
      <c r="Q31" s="29">
        <f>'Custos mês a mês'!Q2</f>
        <v/>
      </c>
      <c r="R31" s="29">
        <f>'Custos mês a mês'!R2</f>
        <v/>
      </c>
      <c r="S31" s="29">
        <f>'Custos mês a mês'!S2</f>
        <v/>
      </c>
    </row>
    <row r="32">
      <c r="A32" t="inlineStr">
        <is>
          <t>Água</t>
        </is>
      </c>
      <c r="B32" s="29">
        <f>'Custos mês a mês'!B3</f>
        <v/>
      </c>
      <c r="C32" s="29">
        <f>'Custos mês a mês'!C3</f>
        <v/>
      </c>
      <c r="D32" s="29">
        <f>'Custos mês a mês'!D3</f>
        <v/>
      </c>
      <c r="E32" s="29">
        <f>'Custos mês a mês'!E3</f>
        <v/>
      </c>
      <c r="F32" s="29">
        <f>'Custos mês a mês'!F3</f>
        <v/>
      </c>
      <c r="G32" s="29">
        <f>'Custos mês a mês'!G3</f>
        <v/>
      </c>
      <c r="H32" s="29">
        <f>'Custos mês a mês'!H3</f>
        <v/>
      </c>
      <c r="I32" s="29">
        <f>'Custos mês a mês'!I3</f>
        <v/>
      </c>
      <c r="J32" s="29">
        <f>'Custos mês a mês'!J3</f>
        <v/>
      </c>
      <c r="K32" s="29">
        <f>'Custos mês a mês'!K3</f>
        <v/>
      </c>
      <c r="L32" s="29">
        <f>'Custos mês a mês'!L3</f>
        <v/>
      </c>
      <c r="M32" s="29">
        <f>'Custos mês a mês'!M3</f>
        <v/>
      </c>
      <c r="N32" s="29">
        <f>'Custos mês a mês'!N3</f>
        <v/>
      </c>
      <c r="O32" s="29">
        <f>'Custos mês a mês'!O3</f>
        <v/>
      </c>
      <c r="P32" s="29">
        <f>'Custos mês a mês'!P3</f>
        <v/>
      </c>
      <c r="Q32" s="29">
        <f>'Custos mês a mês'!Q3</f>
        <v/>
      </c>
      <c r="R32" s="29">
        <f>'Custos mês a mês'!R3</f>
        <v/>
      </c>
      <c r="S32" s="29">
        <f>'Custos mês a mês'!S3</f>
        <v/>
      </c>
    </row>
    <row r="33">
      <c r="A33" t="inlineStr">
        <is>
          <t>Luz</t>
        </is>
      </c>
      <c r="B33" s="29">
        <f>'Custos mês a mês'!B4</f>
        <v/>
      </c>
      <c r="C33" s="29">
        <f>'Custos mês a mês'!C4</f>
        <v/>
      </c>
      <c r="D33" s="29">
        <f>'Custos mês a mês'!D4</f>
        <v/>
      </c>
      <c r="E33" s="29">
        <f>'Custos mês a mês'!E4</f>
        <v/>
      </c>
      <c r="F33" s="29">
        <f>'Custos mês a mês'!F4</f>
        <v/>
      </c>
      <c r="G33" s="29">
        <f>'Custos mês a mês'!G4</f>
        <v/>
      </c>
      <c r="H33" s="29">
        <f>'Custos mês a mês'!H4</f>
        <v/>
      </c>
      <c r="I33" s="29">
        <f>'Custos mês a mês'!I4</f>
        <v/>
      </c>
      <c r="J33" s="29">
        <f>'Custos mês a mês'!J4</f>
        <v/>
      </c>
      <c r="K33" s="29">
        <f>'Custos mês a mês'!K4</f>
        <v/>
      </c>
      <c r="L33" s="29">
        <f>'Custos mês a mês'!L4</f>
        <v/>
      </c>
      <c r="M33" s="29">
        <f>'Custos mês a mês'!M4</f>
        <v/>
      </c>
      <c r="N33" s="29">
        <f>'Custos mês a mês'!N4</f>
        <v/>
      </c>
      <c r="O33" s="29">
        <f>'Custos mês a mês'!O4</f>
        <v/>
      </c>
      <c r="P33" s="29">
        <f>'Custos mês a mês'!P4</f>
        <v/>
      </c>
      <c r="Q33" s="29">
        <f>'Custos mês a mês'!Q4</f>
        <v/>
      </c>
      <c r="R33" s="29">
        <f>'Custos mês a mês'!R4</f>
        <v/>
      </c>
      <c r="S33" s="29">
        <f>'Custos mês a mês'!S4</f>
        <v/>
      </c>
    </row>
    <row r="34">
      <c r="A34" t="inlineStr">
        <is>
          <t>Telefone</t>
        </is>
      </c>
      <c r="B34" s="29">
        <f>'Custos mês a mês'!B5</f>
        <v/>
      </c>
      <c r="C34" s="29">
        <f>'Custos mês a mês'!C5</f>
        <v/>
      </c>
      <c r="D34" s="29">
        <f>'Custos mês a mês'!D5</f>
        <v/>
      </c>
      <c r="E34" s="29">
        <f>'Custos mês a mês'!E5</f>
        <v/>
      </c>
      <c r="F34" s="29">
        <f>'Custos mês a mês'!F5</f>
        <v/>
      </c>
      <c r="G34" s="29">
        <f>'Custos mês a mês'!G5</f>
        <v/>
      </c>
      <c r="H34" s="29">
        <f>'Custos mês a mês'!H5</f>
        <v/>
      </c>
      <c r="I34" s="29">
        <f>'Custos mês a mês'!I5</f>
        <v/>
      </c>
      <c r="J34" s="29">
        <f>'Custos mês a mês'!J5</f>
        <v/>
      </c>
      <c r="K34" s="29">
        <f>'Custos mês a mês'!K5</f>
        <v/>
      </c>
      <c r="L34" s="29">
        <f>'Custos mês a mês'!L5</f>
        <v/>
      </c>
      <c r="M34" s="29">
        <f>'Custos mês a mês'!M5</f>
        <v/>
      </c>
      <c r="N34" s="29">
        <f>'Custos mês a mês'!N5</f>
        <v/>
      </c>
      <c r="O34" s="29">
        <f>'Custos mês a mês'!O5</f>
        <v/>
      </c>
      <c r="P34" s="29">
        <f>'Custos mês a mês'!P5</f>
        <v/>
      </c>
      <c r="Q34" s="29">
        <f>'Custos mês a mês'!Q5</f>
        <v/>
      </c>
      <c r="R34" s="29">
        <f>'Custos mês a mês'!R5</f>
        <v/>
      </c>
      <c r="S34" s="29">
        <f>'Custos mês a mês'!S5</f>
        <v/>
      </c>
    </row>
    <row r="35">
      <c r="A35" t="inlineStr">
        <is>
          <t>Internet</t>
        </is>
      </c>
      <c r="B35" s="29">
        <f>'Custos mês a mês'!B6</f>
        <v/>
      </c>
      <c r="C35" s="29">
        <f>'Custos mês a mês'!C6</f>
        <v/>
      </c>
      <c r="D35" s="29">
        <f>'Custos mês a mês'!D6</f>
        <v/>
      </c>
      <c r="E35" s="29">
        <f>'Custos mês a mês'!E6</f>
        <v/>
      </c>
      <c r="F35" s="29">
        <f>'Custos mês a mês'!F6</f>
        <v/>
      </c>
      <c r="G35" s="29">
        <f>'Custos mês a mês'!G6</f>
        <v/>
      </c>
      <c r="H35" s="29">
        <f>'Custos mês a mês'!H6</f>
        <v/>
      </c>
      <c r="I35" s="29">
        <f>'Custos mês a mês'!I6</f>
        <v/>
      </c>
      <c r="J35" s="29">
        <f>'Custos mês a mês'!J6</f>
        <v/>
      </c>
      <c r="K35" s="29">
        <f>'Custos mês a mês'!K6</f>
        <v/>
      </c>
      <c r="L35" s="29">
        <f>'Custos mês a mês'!L6</f>
        <v/>
      </c>
      <c r="M35" s="29">
        <f>'Custos mês a mês'!M6</f>
        <v/>
      </c>
      <c r="N35" s="29">
        <f>'Custos mês a mês'!N6</f>
        <v/>
      </c>
      <c r="O35" s="29">
        <f>'Custos mês a mês'!O6</f>
        <v/>
      </c>
      <c r="P35" s="29">
        <f>'Custos mês a mês'!P6</f>
        <v/>
      </c>
      <c r="Q35" s="29">
        <f>'Custos mês a mês'!Q6</f>
        <v/>
      </c>
      <c r="R35" s="29">
        <f>'Custos mês a mês'!R6</f>
        <v/>
      </c>
      <c r="S35" s="29">
        <f>'Custos mês a mês'!S6</f>
        <v/>
      </c>
    </row>
    <row r="36">
      <c r="A36" t="inlineStr">
        <is>
          <t>Sistema de gestão DiscoverON</t>
        </is>
      </c>
      <c r="B36" s="29">
        <f>'Custos mês a mês'!B7</f>
        <v/>
      </c>
      <c r="C36" s="29">
        <f>'Custos mês a mês'!C7</f>
        <v/>
      </c>
      <c r="D36" s="29">
        <f>'Custos mês a mês'!D7</f>
        <v/>
      </c>
      <c r="E36" s="29">
        <f>'Custos mês a mês'!E7</f>
        <v/>
      </c>
      <c r="F36" s="29">
        <f>'Custos mês a mês'!F7</f>
        <v/>
      </c>
      <c r="G36" s="29">
        <f>'Custos mês a mês'!G7</f>
        <v/>
      </c>
      <c r="H36" s="29">
        <f>'Custos mês a mês'!H7</f>
        <v/>
      </c>
      <c r="I36" s="29">
        <f>'Custos mês a mês'!I7</f>
        <v/>
      </c>
      <c r="J36" s="29">
        <f>'Custos mês a mês'!J7</f>
        <v/>
      </c>
      <c r="K36" s="29">
        <f>'Custos mês a mês'!K7</f>
        <v/>
      </c>
      <c r="L36" s="29">
        <f>'Custos mês a mês'!L7</f>
        <v/>
      </c>
      <c r="M36" s="29">
        <f>'Custos mês a mês'!M7</f>
        <v/>
      </c>
      <c r="N36" s="29">
        <f>'Custos mês a mês'!N7</f>
        <v/>
      </c>
      <c r="O36" s="29">
        <f>'Custos mês a mês'!O7</f>
        <v/>
      </c>
      <c r="P36" s="29">
        <f>'Custos mês a mês'!P7</f>
        <v/>
      </c>
      <c r="Q36" s="29">
        <f>'Custos mês a mês'!Q7</f>
        <v/>
      </c>
      <c r="R36" s="29">
        <f>'Custos mês a mês'!R7</f>
        <v/>
      </c>
      <c r="S36" s="29">
        <f>'Custos mês a mês'!S7</f>
        <v/>
      </c>
    </row>
    <row r="37">
      <c r="A37" t="inlineStr">
        <is>
          <t>Itens para aula</t>
        </is>
      </c>
      <c r="B37" s="29">
        <f>'Custos mês a mês'!B8</f>
        <v/>
      </c>
      <c r="C37" s="29">
        <f>'Custos mês a mês'!C8</f>
        <v/>
      </c>
      <c r="D37" s="29">
        <f>'Custos mês a mês'!D8</f>
        <v/>
      </c>
      <c r="E37" s="29">
        <f>'Custos mês a mês'!E8</f>
        <v/>
      </c>
      <c r="F37" s="29">
        <f>'Custos mês a mês'!F8</f>
        <v/>
      </c>
      <c r="G37" s="29">
        <f>'Custos mês a mês'!G8</f>
        <v/>
      </c>
      <c r="H37" s="29">
        <f>'Custos mês a mês'!H8</f>
        <v/>
      </c>
      <c r="I37" s="29">
        <f>'Custos mês a mês'!I8</f>
        <v/>
      </c>
      <c r="J37" s="29">
        <f>'Custos mês a mês'!J8</f>
        <v/>
      </c>
      <c r="K37" s="29">
        <f>'Custos mês a mês'!K8</f>
        <v/>
      </c>
      <c r="L37" s="29">
        <f>'Custos mês a mês'!L8</f>
        <v/>
      </c>
      <c r="M37" s="29">
        <f>'Custos mês a mês'!M8</f>
        <v/>
      </c>
      <c r="N37" s="29">
        <f>'Custos mês a mês'!N8</f>
        <v/>
      </c>
      <c r="O37" s="29">
        <f>'Custos mês a mês'!O8</f>
        <v/>
      </c>
      <c r="P37" s="29">
        <f>'Custos mês a mês'!P8</f>
        <v/>
      </c>
      <c r="Q37" s="29">
        <f>'Custos mês a mês'!Q8</f>
        <v/>
      </c>
      <c r="R37" s="29">
        <f>'Custos mês a mês'!R8</f>
        <v/>
      </c>
      <c r="S37" s="29">
        <f>'Custos mês a mês'!S8</f>
        <v/>
      </c>
    </row>
    <row r="38">
      <c r="A38" t="inlineStr">
        <is>
          <t>Materiais de limpeza + higiene</t>
        </is>
      </c>
      <c r="B38" s="29">
        <f>'Custos mês a mês'!B9</f>
        <v/>
      </c>
      <c r="C38" s="29">
        <f>'Custos mês a mês'!C9</f>
        <v/>
      </c>
      <c r="D38" s="29">
        <f>'Custos mês a mês'!D9</f>
        <v/>
      </c>
      <c r="E38" s="29">
        <f>'Custos mês a mês'!E9</f>
        <v/>
      </c>
      <c r="F38" s="29">
        <f>'Custos mês a mês'!F9</f>
        <v/>
      </c>
      <c r="G38" s="29">
        <f>'Custos mês a mês'!G9</f>
        <v/>
      </c>
      <c r="H38" s="29">
        <f>'Custos mês a mês'!H9</f>
        <v/>
      </c>
      <c r="I38" s="29">
        <f>'Custos mês a mês'!I9</f>
        <v/>
      </c>
      <c r="J38" s="29">
        <f>'Custos mês a mês'!J9</f>
        <v/>
      </c>
      <c r="K38" s="29">
        <f>'Custos mês a mês'!K9</f>
        <v/>
      </c>
      <c r="L38" s="29">
        <f>'Custos mês a mês'!L9</f>
        <v/>
      </c>
      <c r="M38" s="29">
        <f>'Custos mês a mês'!M9</f>
        <v/>
      </c>
      <c r="N38" s="29">
        <f>'Custos mês a mês'!N9</f>
        <v/>
      </c>
      <c r="O38" s="29">
        <f>'Custos mês a mês'!O9</f>
        <v/>
      </c>
      <c r="P38" s="29">
        <f>'Custos mês a mês'!P9</f>
        <v/>
      </c>
      <c r="Q38" s="29">
        <f>'Custos mês a mês'!Q9</f>
        <v/>
      </c>
      <c r="R38" s="29">
        <f>'Custos mês a mês'!R9</f>
        <v/>
      </c>
      <c r="S38" s="29">
        <f>'Custos mês a mês'!S9</f>
        <v/>
      </c>
    </row>
    <row r="39">
      <c r="A39" t="inlineStr">
        <is>
          <t>Brindes</t>
        </is>
      </c>
      <c r="B39" s="29">
        <f>'Custos mês a mês'!B10</f>
        <v/>
      </c>
      <c r="C39" s="29">
        <f>'Custos mês a mês'!C10</f>
        <v/>
      </c>
      <c r="D39" s="29">
        <f>'Custos mês a mês'!D10</f>
        <v/>
      </c>
      <c r="E39" s="29">
        <f>'Custos mês a mês'!E10</f>
        <v/>
      </c>
      <c r="F39" s="29">
        <f>'Custos mês a mês'!F10</f>
        <v/>
      </c>
      <c r="G39" s="29">
        <f>'Custos mês a mês'!G10</f>
        <v/>
      </c>
      <c r="H39" s="29">
        <f>'Custos mês a mês'!H10</f>
        <v/>
      </c>
      <c r="I39" s="29">
        <f>'Custos mês a mês'!I10</f>
        <v/>
      </c>
      <c r="J39" s="29">
        <f>'Custos mês a mês'!J10</f>
        <v/>
      </c>
      <c r="K39" s="29">
        <f>'Custos mês a mês'!K10</f>
        <v/>
      </c>
      <c r="L39" s="29">
        <f>'Custos mês a mês'!L10</f>
        <v/>
      </c>
      <c r="M39" s="29">
        <f>'Custos mês a mês'!M10</f>
        <v/>
      </c>
      <c r="N39" s="29">
        <f>'Custos mês a mês'!N10</f>
        <v/>
      </c>
      <c r="O39" s="29">
        <f>'Custos mês a mês'!O10</f>
        <v/>
      </c>
      <c r="P39" s="29">
        <f>'Custos mês a mês'!P10</f>
        <v/>
      </c>
      <c r="Q39" s="29">
        <f>'Custos mês a mês'!Q10</f>
        <v/>
      </c>
      <c r="R39" s="29">
        <f>'Custos mês a mês'!R10</f>
        <v/>
      </c>
      <c r="S39" s="29">
        <f>'Custos mês a mês'!S10</f>
        <v/>
      </c>
    </row>
    <row r="40">
      <c r="A40" t="inlineStr">
        <is>
          <t>Marketing</t>
        </is>
      </c>
      <c r="B40" s="29">
        <f>'Custos mês a mês'!B11</f>
        <v/>
      </c>
      <c r="C40" s="29">
        <f>'Custos mês a mês'!C11</f>
        <v/>
      </c>
      <c r="D40" s="29">
        <f>'Custos mês a mês'!D11</f>
        <v/>
      </c>
      <c r="E40" s="29">
        <f>'Custos mês a mês'!E11</f>
        <v/>
      </c>
      <c r="F40" s="29">
        <f>'Custos mês a mês'!F11</f>
        <v/>
      </c>
      <c r="G40" s="29">
        <f>'Custos mês a mês'!G11</f>
        <v/>
      </c>
      <c r="H40" s="29">
        <f>'Custos mês a mês'!H11</f>
        <v/>
      </c>
      <c r="I40" s="29">
        <f>'Custos mês a mês'!I11</f>
        <v/>
      </c>
      <c r="J40" s="29">
        <f>'Custos mês a mês'!J11</f>
        <v/>
      </c>
      <c r="K40" s="29">
        <f>'Custos mês a mês'!K11</f>
        <v/>
      </c>
      <c r="L40" s="29">
        <f>'Custos mês a mês'!L11</f>
        <v/>
      </c>
      <c r="M40" s="29">
        <f>'Custos mês a mês'!M11</f>
        <v/>
      </c>
      <c r="N40" s="29">
        <f>'Custos mês a mês'!N11</f>
        <v/>
      </c>
      <c r="O40" s="29">
        <f>'Custos mês a mês'!O11</f>
        <v/>
      </c>
      <c r="P40" s="29">
        <f>'Custos mês a mês'!P11</f>
        <v/>
      </c>
      <c r="Q40" s="29">
        <f>'Custos mês a mês'!Q11</f>
        <v/>
      </c>
      <c r="R40" s="29">
        <f>'Custos mês a mês'!R11</f>
        <v/>
      </c>
      <c r="S40" s="29">
        <f>'Custos mês a mês'!S11</f>
        <v/>
      </c>
    </row>
    <row r="41">
      <c r="A41" t="inlineStr">
        <is>
          <t>Aluguel dos computadores</t>
        </is>
      </c>
      <c r="B41" s="29">
        <f>'Custos mês a mês'!B12</f>
        <v/>
      </c>
      <c r="C41" s="29">
        <f>'Custos mês a mês'!C12</f>
        <v/>
      </c>
      <c r="D41" s="29">
        <f>'Custos mês a mês'!D12</f>
        <v/>
      </c>
      <c r="E41" s="29">
        <f>'Custos mês a mês'!E12</f>
        <v/>
      </c>
      <c r="F41" s="29">
        <f>'Custos mês a mês'!F12</f>
        <v/>
      </c>
      <c r="G41" s="29">
        <f>'Custos mês a mês'!G12</f>
        <v/>
      </c>
      <c r="H41" s="29">
        <f>'Custos mês a mês'!H12</f>
        <v/>
      </c>
      <c r="I41" s="29">
        <f>'Custos mês a mês'!I12</f>
        <v/>
      </c>
      <c r="J41" s="29">
        <f>'Custos mês a mês'!J12</f>
        <v/>
      </c>
      <c r="K41" s="29">
        <f>'Custos mês a mês'!K12</f>
        <v/>
      </c>
      <c r="L41" s="29">
        <f>'Custos mês a mês'!L12</f>
        <v/>
      </c>
      <c r="M41" s="29">
        <f>'Custos mês a mês'!M12</f>
        <v/>
      </c>
      <c r="N41" s="29">
        <f>'Custos mês a mês'!N12</f>
        <v/>
      </c>
      <c r="O41" s="29">
        <f>'Custos mês a mês'!O12</f>
        <v/>
      </c>
      <c r="P41" s="29">
        <f>'Custos mês a mês'!P12</f>
        <v/>
      </c>
      <c r="Q41" s="29">
        <f>'Custos mês a mês'!Q12</f>
        <v/>
      </c>
      <c r="R41" s="29">
        <f>'Custos mês a mês'!R12</f>
        <v/>
      </c>
      <c r="S41" s="29">
        <f>'Custos mês a mês'!S12</f>
        <v/>
      </c>
    </row>
    <row r="42">
      <c r="A42" t="inlineStr">
        <is>
          <t>Seguro empresarial</t>
        </is>
      </c>
      <c r="B42" s="29">
        <f>'Custos mês a mês'!B13</f>
        <v/>
      </c>
      <c r="C42" s="29">
        <f>'Custos mês a mês'!C13</f>
        <v/>
      </c>
      <c r="D42" s="29">
        <f>'Custos mês a mês'!D13</f>
        <v/>
      </c>
      <c r="E42" s="29">
        <f>'Custos mês a mês'!E13</f>
        <v/>
      </c>
      <c r="F42" s="29">
        <f>'Custos mês a mês'!F13</f>
        <v/>
      </c>
      <c r="G42" s="29">
        <f>'Custos mês a mês'!G13</f>
        <v/>
      </c>
      <c r="H42" s="29">
        <f>'Custos mês a mês'!H13</f>
        <v/>
      </c>
      <c r="I42" s="29">
        <f>'Custos mês a mês'!I13</f>
        <v/>
      </c>
      <c r="J42" s="29">
        <f>'Custos mês a mês'!J13</f>
        <v/>
      </c>
      <c r="K42" s="29">
        <f>'Custos mês a mês'!K13</f>
        <v/>
      </c>
      <c r="L42" s="29">
        <f>'Custos mês a mês'!L13</f>
        <v/>
      </c>
      <c r="M42" s="29">
        <f>'Custos mês a mês'!M13</f>
        <v/>
      </c>
      <c r="N42" s="29">
        <f>'Custos mês a mês'!N13</f>
        <v/>
      </c>
      <c r="O42" s="29">
        <f>'Custos mês a mês'!O13</f>
        <v/>
      </c>
      <c r="P42" s="29">
        <f>'Custos mês a mês'!P13</f>
        <v/>
      </c>
      <c r="Q42" s="29">
        <f>'Custos mês a mês'!Q13</f>
        <v/>
      </c>
      <c r="R42" s="29">
        <f>'Custos mês a mês'!R13</f>
        <v/>
      </c>
      <c r="S42" s="29">
        <f>'Custos mês a mês'!S13</f>
        <v/>
      </c>
    </row>
    <row r="43">
      <c r="A43" t="inlineStr">
        <is>
          <t>Taxas bancárias + gasolina</t>
        </is>
      </c>
      <c r="B43" s="29">
        <f>'Custos mês a mês'!B14</f>
        <v/>
      </c>
      <c r="C43" s="29">
        <f>'Custos mês a mês'!C14</f>
        <v/>
      </c>
      <c r="D43" s="29">
        <f>'Custos mês a mês'!D14</f>
        <v/>
      </c>
      <c r="E43" s="29">
        <f>'Custos mês a mês'!E14</f>
        <v/>
      </c>
      <c r="F43" s="29">
        <f>'Custos mês a mês'!F14</f>
        <v/>
      </c>
      <c r="G43" s="29">
        <f>'Custos mês a mês'!G14</f>
        <v/>
      </c>
      <c r="H43" s="29">
        <f>'Custos mês a mês'!H14</f>
        <v/>
      </c>
      <c r="I43" s="29">
        <f>'Custos mês a mês'!I14</f>
        <v/>
      </c>
      <c r="J43" s="29">
        <f>'Custos mês a mês'!J14</f>
        <v/>
      </c>
      <c r="K43" s="29">
        <f>'Custos mês a mês'!K14</f>
        <v/>
      </c>
      <c r="L43" s="29">
        <f>'Custos mês a mês'!L14</f>
        <v/>
      </c>
      <c r="M43" s="29">
        <f>'Custos mês a mês'!M14</f>
        <v/>
      </c>
      <c r="N43" s="29">
        <f>'Custos mês a mês'!N14</f>
        <v/>
      </c>
      <c r="O43" s="29">
        <f>'Custos mês a mês'!O14</f>
        <v/>
      </c>
      <c r="P43" s="29">
        <f>'Custos mês a mês'!P14</f>
        <v/>
      </c>
      <c r="Q43" s="29">
        <f>'Custos mês a mês'!Q14</f>
        <v/>
      </c>
      <c r="R43" s="29">
        <f>'Custos mês a mês'!R14</f>
        <v/>
      </c>
      <c r="S43" s="29">
        <f>'Custos mês a mês'!S14</f>
        <v/>
      </c>
    </row>
    <row r="44">
      <c r="A44" t="inlineStr">
        <is>
          <t>Custos operacionais (contab., manut., licenças…)</t>
        </is>
      </c>
      <c r="B44" s="29">
        <f>'Custos mês a mês'!B15</f>
        <v/>
      </c>
      <c r="C44" s="29">
        <f>'Custos mês a mês'!C15</f>
        <v/>
      </c>
      <c r="D44" s="29">
        <f>'Custos mês a mês'!D15</f>
        <v/>
      </c>
      <c r="E44" s="29">
        <f>'Custos mês a mês'!E15</f>
        <v/>
      </c>
      <c r="F44" s="29">
        <f>'Custos mês a mês'!F15</f>
        <v/>
      </c>
      <c r="G44" s="29">
        <f>'Custos mês a mês'!G15</f>
        <v/>
      </c>
      <c r="H44" s="29">
        <f>'Custos mês a mês'!H15</f>
        <v/>
      </c>
      <c r="I44" s="29">
        <f>'Custos mês a mês'!I15</f>
        <v/>
      </c>
      <c r="J44" s="29">
        <f>'Custos mês a mês'!J15</f>
        <v/>
      </c>
      <c r="K44" s="29">
        <f>'Custos mês a mês'!K15</f>
        <v/>
      </c>
      <c r="L44" s="29">
        <f>'Custos mês a mês'!L15</f>
        <v/>
      </c>
      <c r="M44" s="29">
        <f>'Custos mês a mês'!M15</f>
        <v/>
      </c>
      <c r="N44" s="29">
        <f>'Custos mês a mês'!N15</f>
        <v/>
      </c>
      <c r="O44" s="29">
        <f>'Custos mês a mês'!O15</f>
        <v/>
      </c>
      <c r="P44" s="29">
        <f>'Custos mês a mês'!P15</f>
        <v/>
      </c>
      <c r="Q44" s="29">
        <f>'Custos mês a mês'!Q15</f>
        <v/>
      </c>
      <c r="R44" s="29">
        <f>'Custos mês a mês'!R15</f>
        <v/>
      </c>
      <c r="S44" s="29">
        <f>'Custos mês a mês'!S15</f>
        <v/>
      </c>
    </row>
    <row r="45">
      <c r="A45" t="inlineStr">
        <is>
          <t>Pró-labore</t>
        </is>
      </c>
      <c r="B45" s="29">
        <f>'Custos mês a mês'!B16</f>
        <v/>
      </c>
      <c r="C45" s="29">
        <f>'Custos mês a mês'!C16</f>
        <v/>
      </c>
      <c r="D45" s="29">
        <f>'Custos mês a mês'!D16</f>
        <v/>
      </c>
      <c r="E45" s="29">
        <f>'Custos mês a mês'!E16</f>
        <v/>
      </c>
      <c r="F45" s="29">
        <f>'Custos mês a mês'!F16</f>
        <v/>
      </c>
      <c r="G45" s="29">
        <f>'Custos mês a mês'!G16</f>
        <v/>
      </c>
      <c r="H45" s="29">
        <f>'Custos mês a mês'!H16</f>
        <v/>
      </c>
      <c r="I45" s="29">
        <f>'Custos mês a mês'!I16</f>
        <v/>
      </c>
      <c r="J45" s="29">
        <f>'Custos mês a mês'!J16</f>
        <v/>
      </c>
      <c r="K45" s="29">
        <f>'Custos mês a mês'!K16</f>
        <v/>
      </c>
      <c r="L45" s="29">
        <f>'Custos mês a mês'!L16</f>
        <v/>
      </c>
      <c r="M45" s="29">
        <f>'Custos mês a mês'!M16</f>
        <v/>
      </c>
      <c r="N45" s="29">
        <f>'Custos mês a mês'!N16</f>
        <v/>
      </c>
      <c r="O45" s="29">
        <f>'Custos mês a mês'!O16</f>
        <v/>
      </c>
      <c r="P45" s="29">
        <f>'Custos mês a mês'!P16</f>
        <v/>
      </c>
      <c r="Q45" s="29">
        <f>'Custos mês a mês'!Q16</f>
        <v/>
      </c>
      <c r="R45" s="29">
        <f>'Custos mês a mês'!R16</f>
        <v/>
      </c>
      <c r="S45" s="29">
        <f>'Custos mês a mês'!S16</f>
        <v/>
      </c>
    </row>
    <row r="46">
      <c r="A46" s="42" t="inlineStr">
        <is>
          <t>Total de despesas</t>
        </is>
      </c>
      <c r="B46" s="24">
        <f>SUM(B23:B45)</f>
        <v/>
      </c>
      <c r="C46" s="24">
        <f>SUM(C23:C45)</f>
        <v/>
      </c>
      <c r="D46" s="24">
        <f>SUM(D23:D45)</f>
        <v/>
      </c>
      <c r="E46" s="24">
        <f>SUM(E23:E45)</f>
        <v/>
      </c>
      <c r="F46" s="24">
        <f>SUM(F23:F45)</f>
        <v/>
      </c>
      <c r="G46" s="24">
        <f>SUM(G23:G45)</f>
        <v/>
      </c>
      <c r="H46" s="24">
        <f>SUM(H23:H45)</f>
        <v/>
      </c>
      <c r="I46" s="24">
        <f>SUM(I23:I45)</f>
        <v/>
      </c>
      <c r="J46" s="24">
        <f>SUM(J23:J45)</f>
        <v/>
      </c>
      <c r="K46" s="24">
        <f>SUM(K23:K45)</f>
        <v/>
      </c>
      <c r="L46" s="24">
        <f>SUM(L23:L45)</f>
        <v/>
      </c>
      <c r="M46" s="24">
        <f>SUM(M23:M45)</f>
        <v/>
      </c>
      <c r="N46" s="24">
        <f>SUM(N23:N45)</f>
        <v/>
      </c>
      <c r="O46" s="24">
        <f>SUM(O23:O45)</f>
        <v/>
      </c>
      <c r="P46" s="24">
        <f>SUM(P23:P45)</f>
        <v/>
      </c>
      <c r="Q46" s="24">
        <f>SUM(Q23:Q45)</f>
        <v/>
      </c>
      <c r="R46" s="24">
        <f>SUM(R23:R45)</f>
        <v/>
      </c>
      <c r="S46" s="24">
        <f>SUM(S23:S45)</f>
        <v/>
      </c>
    </row>
    <row r="48">
      <c r="A48" s="14" t="inlineStr">
        <is>
          <t>Resultado do mês</t>
        </is>
      </c>
      <c r="B48" s="44">
        <f>B15-B46</f>
        <v/>
      </c>
      <c r="C48" s="44">
        <f>C15-C46</f>
        <v/>
      </c>
      <c r="D48" s="44">
        <f>D15-D46</f>
        <v/>
      </c>
      <c r="E48" s="44">
        <f>E15-E46</f>
        <v/>
      </c>
      <c r="F48" s="44">
        <f>F15-F46</f>
        <v/>
      </c>
      <c r="G48" s="44">
        <f>G15-G46</f>
        <v/>
      </c>
      <c r="H48" s="44">
        <f>H15-H46</f>
        <v/>
      </c>
      <c r="I48" s="44">
        <f>I15-I46</f>
        <v/>
      </c>
      <c r="J48" s="44">
        <f>J15-J46</f>
        <v/>
      </c>
      <c r="K48" s="44">
        <f>K15-K46</f>
        <v/>
      </c>
      <c r="L48" s="44">
        <f>L15-L46</f>
        <v/>
      </c>
      <c r="M48" s="44">
        <f>M15-M46</f>
        <v/>
      </c>
      <c r="N48" s="44">
        <f>N15-N46</f>
        <v/>
      </c>
      <c r="O48" s="44">
        <f>O15-O46</f>
        <v/>
      </c>
      <c r="P48" s="44">
        <f>P15-P46</f>
        <v/>
      </c>
      <c r="Q48" s="44">
        <f>Q15-Q46</f>
        <v/>
      </c>
      <c r="R48" s="44">
        <f>R15-R46</f>
        <v/>
      </c>
      <c r="S48" s="44">
        <f>S15-S46</f>
        <v/>
      </c>
    </row>
    <row r="49">
      <c r="A49" s="14" t="inlineStr">
        <is>
          <t>Caixa acumulado (operacional)</t>
        </is>
      </c>
      <c r="B49" s="44">
        <f>B48</f>
        <v/>
      </c>
      <c r="C49" s="44">
        <f>B49+C48</f>
        <v/>
      </c>
      <c r="D49" s="44">
        <f>C49+D48</f>
        <v/>
      </c>
      <c r="E49" s="44">
        <f>D49+E48</f>
        <v/>
      </c>
      <c r="F49" s="44">
        <f>E49+F48</f>
        <v/>
      </c>
      <c r="G49" s="44">
        <f>F49+G48</f>
        <v/>
      </c>
      <c r="H49" s="44">
        <f>G49+H48</f>
        <v/>
      </c>
      <c r="I49" s="44">
        <f>H49+I48</f>
        <v/>
      </c>
      <c r="J49" s="44">
        <f>I49+J48</f>
        <v/>
      </c>
      <c r="K49" s="44">
        <f>J49+K48</f>
        <v/>
      </c>
      <c r="L49" s="44">
        <f>K49+L48</f>
        <v/>
      </c>
      <c r="M49" s="44">
        <f>L49+M48</f>
        <v/>
      </c>
      <c r="N49" s="44">
        <f>M49+N48</f>
        <v/>
      </c>
      <c r="O49" s="44">
        <f>N49+O48</f>
        <v/>
      </c>
      <c r="P49" s="44">
        <f>O49+P48</f>
        <v/>
      </c>
      <c r="Q49" s="44">
        <f>P49+Q48</f>
        <v/>
      </c>
      <c r="R49" s="44">
        <f>Q49+R48</f>
        <v/>
      </c>
      <c r="S49" s="44">
        <f>R49+S48</f>
        <v/>
      </c>
    </row>
    <row r="50">
      <c r="A50" s="14" t="inlineStr">
        <is>
          <t>Caixa acumulado incl. investimento</t>
        </is>
      </c>
      <c r="B50" s="44">
        <f>B49-INVEST_TOTAL</f>
        <v/>
      </c>
      <c r="C50" s="44">
        <f>C49-INVEST_TOTAL</f>
        <v/>
      </c>
      <c r="D50" s="44">
        <f>D49-INVEST_TOTAL</f>
        <v/>
      </c>
      <c r="E50" s="44">
        <f>E49-INVEST_TOTAL</f>
        <v/>
      </c>
      <c r="F50" s="44">
        <f>F49-INVEST_TOTAL</f>
        <v/>
      </c>
      <c r="G50" s="44">
        <f>G49-INVEST_TOTAL</f>
        <v/>
      </c>
      <c r="H50" s="44">
        <f>H49-INVEST_TOTAL</f>
        <v/>
      </c>
      <c r="I50" s="44">
        <f>I49-INVEST_TOTAL</f>
        <v/>
      </c>
      <c r="J50" s="44">
        <f>J49-INVEST_TOTAL</f>
        <v/>
      </c>
      <c r="K50" s="44">
        <f>K49-INVEST_TOTAL</f>
        <v/>
      </c>
      <c r="L50" s="44">
        <f>L49-INVEST_TOTAL</f>
        <v/>
      </c>
      <c r="M50" s="44">
        <f>M49-INVEST_TOTAL</f>
        <v/>
      </c>
      <c r="N50" s="44">
        <f>N49-INVEST_TOTAL</f>
        <v/>
      </c>
      <c r="O50" s="44">
        <f>O49-INVEST_TOTAL</f>
        <v/>
      </c>
      <c r="P50" s="44">
        <f>P49-INVEST_TOTAL</f>
        <v/>
      </c>
      <c r="Q50" s="44">
        <f>Q49-INVEST_TOTAL</f>
        <v/>
      </c>
      <c r="R50" s="44">
        <f>R49-INVEST_TOTAL</f>
        <v/>
      </c>
      <c r="S50" s="44">
        <f>S49-INVEST_TOTAL</f>
        <v/>
      </c>
    </row>
    <row r="51">
      <c r="A51" s="14" t="inlineStr">
        <is>
          <t>MARCOS</t>
        </is>
      </c>
      <c r="B51" s="45" t="inlineStr"/>
      <c r="C51" s="45" t="inlineStr"/>
      <c r="D51" s="45">
        <f>IF(AND(D48&gt;0,COUNTIF($D48:D48,"&gt;0")=1),IF(AND(D50&gt;=0,COUNTIF($D50:D50,"&gt;=0")=1),"BE + PAYBACK","BREAK-EVEN"),IF(AND(D50&gt;=0,COUNTIF($D50:D50,"&gt;=0")=1),"PAYBACK",""))</f>
        <v/>
      </c>
      <c r="E51" s="45">
        <f>IF(AND(E48&gt;0,COUNTIF($D48:E48,"&gt;0")=1),IF(AND(E50&gt;=0,COUNTIF($D50:E50,"&gt;=0")=1),"BE + PAYBACK","BREAK-EVEN"),IF(AND(E50&gt;=0,COUNTIF($D50:E50,"&gt;=0")=1),"PAYBACK",""))</f>
        <v/>
      </c>
      <c r="F51" s="45">
        <f>IF(AND(F48&gt;0,COUNTIF($D48:F48,"&gt;0")=1),IF(AND(F50&gt;=0,COUNTIF($D50:F50,"&gt;=0")=1),"BE + PAYBACK","BREAK-EVEN"),IF(AND(F50&gt;=0,COUNTIF($D50:F50,"&gt;=0")=1),"PAYBACK",""))</f>
        <v/>
      </c>
      <c r="G51" s="45">
        <f>IF(AND(G48&gt;0,COUNTIF($D48:G48,"&gt;0")=1),IF(AND(G50&gt;=0,COUNTIF($D50:G50,"&gt;=0")=1),"BE + PAYBACK","BREAK-EVEN"),IF(AND(G50&gt;=0,COUNTIF($D50:G50,"&gt;=0")=1),"PAYBACK",""))</f>
        <v/>
      </c>
      <c r="H51" s="45">
        <f>IF(AND(H48&gt;0,COUNTIF($D48:H48,"&gt;0")=1),IF(AND(H50&gt;=0,COUNTIF($D50:H50,"&gt;=0")=1),"BE + PAYBACK","BREAK-EVEN"),IF(AND(H50&gt;=0,COUNTIF($D50:H50,"&gt;=0")=1),"PAYBACK",""))</f>
        <v/>
      </c>
      <c r="I51" s="45">
        <f>IF(AND(I48&gt;0,COUNTIF($D48:I48,"&gt;0")=1),IF(AND(I50&gt;=0,COUNTIF($D50:I50,"&gt;=0")=1),"BE + PAYBACK","BREAK-EVEN"),IF(AND(I50&gt;=0,COUNTIF($D50:I50,"&gt;=0")=1),"PAYBACK",""))</f>
        <v/>
      </c>
      <c r="J51" s="45">
        <f>IF(AND(J48&gt;0,COUNTIF($D48:J48,"&gt;0")=1),IF(AND(J50&gt;=0,COUNTIF($D50:J50,"&gt;=0")=1),"BE + PAYBACK","BREAK-EVEN"),IF(AND(J50&gt;=0,COUNTIF($D50:J50,"&gt;=0")=1),"PAYBACK",""))</f>
        <v/>
      </c>
      <c r="K51" s="45">
        <f>IF(AND(K48&gt;0,COUNTIF($D48:K48,"&gt;0")=1),IF(AND(K50&gt;=0,COUNTIF($D50:K50,"&gt;=0")=1),"BE + PAYBACK","BREAK-EVEN"),IF(AND(K50&gt;=0,COUNTIF($D50:K50,"&gt;=0")=1),"PAYBACK",""))</f>
        <v/>
      </c>
      <c r="L51" s="45">
        <f>IF(AND(L48&gt;0,COUNTIF($D48:L48,"&gt;0")=1),IF(AND(L50&gt;=0,COUNTIF($D50:L50,"&gt;=0")=1),"BE + PAYBACK","BREAK-EVEN"),IF(AND(L50&gt;=0,COUNTIF($D50:L50,"&gt;=0")=1),"PAYBACK",""))</f>
        <v/>
      </c>
      <c r="M51" s="45">
        <f>IF(AND(M48&gt;0,COUNTIF($D48:M48,"&gt;0")=1),IF(AND(M50&gt;=0,COUNTIF($D50:M50,"&gt;=0")=1),"BE + PAYBACK","BREAK-EVEN"),IF(AND(M50&gt;=0,COUNTIF($D50:M50,"&gt;=0")=1),"PAYBACK",""))</f>
        <v/>
      </c>
      <c r="N51" s="45">
        <f>IF(AND(N48&gt;0,COUNTIF($D48:N48,"&gt;0")=1),IF(AND(N50&gt;=0,COUNTIF($D50:N50,"&gt;=0")=1),"BE + PAYBACK","BREAK-EVEN"),IF(AND(N50&gt;=0,COUNTIF($D50:N50,"&gt;=0")=1),"PAYBACK",""))</f>
        <v/>
      </c>
      <c r="O51" s="45">
        <f>IF(AND(O48&gt;0,COUNTIF($D48:O48,"&gt;0")=1),IF(AND(O50&gt;=0,COUNTIF($D50:O50,"&gt;=0")=1),"BE + PAYBACK","BREAK-EVEN"),IF(AND(O50&gt;=0,COUNTIF($D50:O50,"&gt;=0")=1),"PAYBACK",""))</f>
        <v/>
      </c>
      <c r="P51" s="45">
        <f>IF(AND(P48&gt;0,COUNTIF($D48:P48,"&gt;0")=1),IF(AND(P50&gt;=0,COUNTIF($D50:P50,"&gt;=0")=1),"BE + PAYBACK","BREAK-EVEN"),IF(AND(P50&gt;=0,COUNTIF($D50:P50,"&gt;=0")=1),"PAYBACK",""))</f>
        <v/>
      </c>
      <c r="Q51" s="45">
        <f>IF(AND(Q48&gt;0,COUNTIF($D48:Q48,"&gt;0")=1),IF(AND(Q50&gt;=0,COUNTIF($D50:Q50,"&gt;=0")=1),"BE + PAYBACK","BREAK-EVEN"),IF(AND(Q50&gt;=0,COUNTIF($D50:Q50,"&gt;=0")=1),"PAYBACK",""))</f>
        <v/>
      </c>
      <c r="R51" s="45">
        <f>IF(AND(R48&gt;0,COUNTIF($D48:R48,"&gt;0")=1),IF(AND(R50&gt;=0,COUNTIF($D50:R50,"&gt;=0")=1),"BE + PAYBACK","BREAK-EVEN"),IF(AND(R50&gt;=0,COUNTIF($D50:R50,"&gt;=0")=1),"PAYBACK",""))</f>
        <v/>
      </c>
      <c r="S51" s="45">
        <f>IF(AND(S48&gt;0,COUNTIF($D48:S48,"&gt;0")=1),IF(AND(S50&gt;=0,COUNTIF($D50:S50,"&gt;=0")=1),"BE + PAYBACK","BREAK-EVEN"),IF(AND(S50&gt;=0,COUNTIF($D50:S50,"&gt;=0")=1),"PAYBACK",""))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conditionalFormatting sqref="D7:S7">
    <cfRule type="expression" priority="1" dxfId="0" stopIfTrue="1">
      <formula>AND(D7&gt;=$U$4,COUNTIF($D7:D7,"&gt;="&amp;$U$4)=1)</formula>
    </cfRule>
  </conditionalFormatting>
  <conditionalFormatting sqref="D48:S48">
    <cfRule type="expression" priority="2" dxfId="0" stopIfTrue="1">
      <formula>AND(D48&gt;0,COUNTIF($D48:D48,"&gt;0")=1)</formula>
    </cfRule>
  </conditionalFormatting>
  <conditionalFormatting sqref="D50:S50">
    <cfRule type="expression" priority="3" dxfId="1" stopIfTrue="1">
      <formula>AND(D50&gt;=0,COUNTIF($D50:D50,"&gt;=0")=1)</formula>
    </cfRule>
  </conditionalFormatting>
  <conditionalFormatting sqref="D51:S51">
    <cfRule type="expression" priority="4" dxfId="0" stopIfTrue="1">
      <formula>OR(D51="BREAK-EVEN",D51="BE + PAYBACK")</formula>
    </cfRule>
    <cfRule type="expression" priority="5" dxfId="1" stopIfTrue="1">
      <formula>D51="PAYBACK"</formula>
    </cfRule>
  </conditionalFormatting>
  <conditionalFormatting sqref="B7:S7">
    <cfRule type="expression" priority="6" dxfId="2">
      <formula>B7&gt;=$U$4</formula>
    </cfRule>
  </conditionalFormatting>
  <conditionalFormatting sqref="B48:S48">
    <cfRule type="cellIs" priority="7" operator="greaterThan" dxfId="2">
      <formula>0</formula>
    </cfRule>
  </conditionalFormatting>
  <conditionalFormatting sqref="B50:S50">
    <cfRule type="cellIs" priority="8" operator="greaterThanOrEqual" dxfId="2">
      <formula>0</formula>
    </cfRule>
  </conditionalFormatting>
  <conditionalFormatting sqref="D9:S9">
    <cfRule type="cellIs" priority="9" operator="greaterThan" dxfId="3">
      <formula>1</formula>
    </cfRule>
  </conditionalFormatting>
  <dataValidations count="1">
    <dataValidation sqref="B3:S3" showDropDown="0" showInputMessage="0" showErrorMessage="0" allowBlank="1" errorTitle="Valor inválido" error="Digite um número inteiro de matrículas (0 ou mais)." type="whole" operator="greaterThanOrEqual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D966"/>
    <outlinePr summaryBelow="1" summaryRight="1"/>
    <pageSetUpPr/>
  </sheetPr>
  <dimension ref="A1:U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6" customWidth="1" min="21" max="21"/>
  </cols>
  <sheetData>
    <row r="1">
      <c r="A1" s="4" t="inlineStr">
        <is>
          <t>Simulador</t>
        </is>
      </c>
      <c r="B1" s="23" t="inlineStr">
        <is>
          <t>Out (obras)</t>
        </is>
      </c>
      <c r="C1" s="23" t="inlineStr">
        <is>
          <t>Nov (obras)</t>
        </is>
      </c>
      <c r="D1" s="23" t="inlineStr">
        <is>
          <t>Dez (M1)</t>
        </is>
      </c>
      <c r="E1" s="23" t="inlineStr">
        <is>
          <t>Jan (M2)</t>
        </is>
      </c>
      <c r="F1" s="23" t="inlineStr">
        <is>
          <t>Fev (M3)</t>
        </is>
      </c>
      <c r="G1" s="23" t="inlineStr">
        <is>
          <t>Mar (M4)</t>
        </is>
      </c>
      <c r="H1" s="23" t="inlineStr">
        <is>
          <t>Abr (M5)</t>
        </is>
      </c>
      <c r="I1" s="23" t="inlineStr">
        <is>
          <t>Mai (M6)</t>
        </is>
      </c>
      <c r="J1" s="23" t="inlineStr">
        <is>
          <t>Jun (M7)</t>
        </is>
      </c>
      <c r="K1" s="23" t="inlineStr">
        <is>
          <t>Jul (M8)</t>
        </is>
      </c>
      <c r="L1" s="23" t="inlineStr">
        <is>
          <t>Ago (M9)</t>
        </is>
      </c>
      <c r="M1" s="23" t="inlineStr">
        <is>
          <t>Set (M10)</t>
        </is>
      </c>
      <c r="N1" s="23" t="inlineStr">
        <is>
          <t>Out (M11)</t>
        </is>
      </c>
      <c r="O1" s="23" t="inlineStr">
        <is>
          <t>Nov (M12)</t>
        </is>
      </c>
      <c r="P1" s="23" t="inlineStr">
        <is>
          <t>Dez (M13)</t>
        </is>
      </c>
      <c r="Q1" s="23" t="inlineStr">
        <is>
          <t>Jan (M14)</t>
        </is>
      </c>
      <c r="R1" s="23" t="inlineStr">
        <is>
          <t>Fev (M15)</t>
        </is>
      </c>
      <c r="S1" s="23" t="inlineStr">
        <is>
          <t>Mar (M16)</t>
        </is>
      </c>
    </row>
    <row r="2">
      <c r="A2" s="34" t="inlineStr">
        <is>
          <t>Período (0 = out)</t>
        </is>
      </c>
      <c r="B2" s="35" t="n">
        <v>0</v>
      </c>
      <c r="C2" s="35" t="n">
        <v>1</v>
      </c>
      <c r="D2" s="35" t="n">
        <v>2</v>
      </c>
      <c r="E2" s="35" t="n">
        <v>3</v>
      </c>
      <c r="F2" s="35" t="n">
        <v>4</v>
      </c>
      <c r="G2" s="35" t="n">
        <v>5</v>
      </c>
      <c r="H2" s="35" t="n">
        <v>6</v>
      </c>
      <c r="I2" s="35" t="n">
        <v>7</v>
      </c>
      <c r="J2" s="35" t="n">
        <v>8</v>
      </c>
      <c r="K2" s="35" t="n">
        <v>9</v>
      </c>
      <c r="L2" s="35" t="n">
        <v>10</v>
      </c>
      <c r="M2" s="35" t="n">
        <v>11</v>
      </c>
      <c r="N2" s="35" t="n">
        <v>12</v>
      </c>
      <c r="O2" s="35" t="n">
        <v>13</v>
      </c>
      <c r="P2" s="35" t="n">
        <v>14</v>
      </c>
      <c r="Q2" s="35" t="n">
        <v>15</v>
      </c>
      <c r="R2" s="35" t="n">
        <v>16</v>
      </c>
      <c r="S2" s="35" t="n">
        <v>17</v>
      </c>
    </row>
    <row r="3">
      <c r="A3" t="inlineStr">
        <is>
          <t>Matrículas — entrada manual  ✏️ editável</t>
        </is>
      </c>
      <c r="B3" s="13" t="n">
        <v>4</v>
      </c>
      <c r="C3" s="13" t="n">
        <v>35</v>
      </c>
      <c r="D3" s="13" t="n">
        <v>13</v>
      </c>
      <c r="E3" s="13" t="n">
        <v>30</v>
      </c>
      <c r="F3" s="13" t="n">
        <v>30</v>
      </c>
      <c r="G3" s="13" t="n">
        <v>20</v>
      </c>
      <c r="H3" s="13" t="n">
        <v>20</v>
      </c>
      <c r="I3" s="13" t="n">
        <v>20</v>
      </c>
      <c r="J3" s="13" t="n">
        <v>20</v>
      </c>
      <c r="K3" s="13" t="n">
        <v>30</v>
      </c>
      <c r="L3" s="13" t="n">
        <v>30</v>
      </c>
      <c r="M3" s="13" t="n">
        <v>20</v>
      </c>
      <c r="N3" s="13" t="n">
        <v>20</v>
      </c>
      <c r="O3" s="13" t="n">
        <v>30</v>
      </c>
      <c r="P3" s="13" t="n">
        <v>30</v>
      </c>
      <c r="Q3" s="13" t="n">
        <v>20</v>
      </c>
      <c r="R3" s="13" t="n">
        <v>30</v>
      </c>
      <c r="S3" s="13" t="n">
        <v>20</v>
      </c>
      <c r="U3" s="7" t="inlineStr">
        <is>
          <t>Break-even (alunos):</t>
        </is>
      </c>
    </row>
    <row r="4">
      <c r="A4" s="14" t="inlineStr">
        <is>
          <t>Matrículas no período (vale para o cálculo)</t>
        </is>
      </c>
      <c r="B4" s="36">
        <f>IF(Premissas!$B$59=3,'Canais de aquisição'!C$9,IF(Premissas!$B$59=2,ROUND('Custos mês a mês'!B$11/MAX(Premissas!$B$60,1),0),B3))</f>
        <v/>
      </c>
      <c r="C4" s="36">
        <f>IF(Premissas!$B$59=3,'Canais de aquisição'!D$9,IF(Premissas!$B$59=2,ROUND('Custos mês a mês'!C$11/MAX(Premissas!$B$60,1),0),C3))</f>
        <v/>
      </c>
      <c r="D4" s="36">
        <f>IF(Premissas!$B$59=3,'Canais de aquisição'!E$9,IF(Premissas!$B$59=2,ROUND('Custos mês a mês'!D$11/MAX(Premissas!$B$60,1),0),D3))</f>
        <v/>
      </c>
      <c r="E4" s="36">
        <f>IF(Premissas!$B$59=3,'Canais de aquisição'!F$9,IF(Premissas!$B$59=2,ROUND('Custos mês a mês'!E$11/MAX(Premissas!$B$60,1),0),E3))</f>
        <v/>
      </c>
      <c r="F4" s="36">
        <f>IF(Premissas!$B$59=3,'Canais de aquisição'!G$9,IF(Premissas!$B$59=2,ROUND('Custos mês a mês'!F$11/MAX(Premissas!$B$60,1),0),F3))</f>
        <v/>
      </c>
      <c r="G4" s="36">
        <f>IF(Premissas!$B$59=3,'Canais de aquisição'!H$9,IF(Premissas!$B$59=2,ROUND('Custos mês a mês'!G$11/MAX(Premissas!$B$60,1),0),G3))</f>
        <v/>
      </c>
      <c r="H4" s="36">
        <f>IF(Premissas!$B$59=3,'Canais de aquisição'!I$9,IF(Premissas!$B$59=2,ROUND('Custos mês a mês'!H$11/MAX(Premissas!$B$60,1),0),H3))</f>
        <v/>
      </c>
      <c r="I4" s="36">
        <f>IF(Premissas!$B$59=3,'Canais de aquisição'!J$9,IF(Premissas!$B$59=2,ROUND('Custos mês a mês'!I$11/MAX(Premissas!$B$60,1),0),I3))</f>
        <v/>
      </c>
      <c r="J4" s="36">
        <f>IF(Premissas!$B$59=3,'Canais de aquisição'!K$9,IF(Premissas!$B$59=2,ROUND('Custos mês a mês'!J$11/MAX(Premissas!$B$60,1),0),J3))</f>
        <v/>
      </c>
      <c r="K4" s="36">
        <f>IF(Premissas!$B$59=3,'Canais de aquisição'!L$9,IF(Premissas!$B$59=2,ROUND('Custos mês a mês'!K$11/MAX(Premissas!$B$60,1),0),K3))</f>
        <v/>
      </c>
      <c r="L4" s="36">
        <f>IF(Premissas!$B$59=3,'Canais de aquisição'!M$9,IF(Premissas!$B$59=2,ROUND('Custos mês a mês'!L$11/MAX(Premissas!$B$60,1),0),L3))</f>
        <v/>
      </c>
      <c r="M4" s="36">
        <f>IF(Premissas!$B$59=3,'Canais de aquisição'!N$9,IF(Premissas!$B$59=2,ROUND('Custos mês a mês'!M$11/MAX(Premissas!$B$60,1),0),M3))</f>
        <v/>
      </c>
      <c r="N4" s="36">
        <f>IF(Premissas!$B$59=3,'Canais de aquisição'!O$9,IF(Premissas!$B$59=2,ROUND('Custos mês a mês'!N$11/MAX(Premissas!$B$60,1),0),N3))</f>
        <v/>
      </c>
      <c r="O4" s="36">
        <f>IF(Premissas!$B$59=3,'Canais de aquisição'!P$9,IF(Premissas!$B$59=2,ROUND('Custos mês a mês'!O$11/MAX(Premissas!$B$60,1),0),O3))</f>
        <v/>
      </c>
      <c r="P4" s="36">
        <f>IF(Premissas!$B$59=3,'Canais de aquisição'!Q$9,IF(Premissas!$B$59=2,ROUND('Custos mês a mês'!P$11/MAX(Premissas!$B$60,1),0),P3))</f>
        <v/>
      </c>
      <c r="Q4" s="36">
        <f>IF(Premissas!$B$59=3,'Canais de aquisição'!R$9,IF(Premissas!$B$59=2,ROUND('Custos mês a mês'!Q$11/MAX(Premissas!$B$60,1),0),Q3))</f>
        <v/>
      </c>
      <c r="R4" s="36">
        <f>IF(Premissas!$B$59=3,'Canais de aquisição'!S$9,IF(Premissas!$B$59=2,ROUND('Custos mês a mês'!R$11/MAX(Premissas!$B$60,1),0),R3))</f>
        <v/>
      </c>
      <c r="S4" s="36">
        <f>IF(Premissas!$B$59=3,'Canais de aquisição'!T$9,IF(Premissas!$B$59=2,ROUND('Custos mês a mês'!S$11/MAX(Premissas!$B$60,1),0),S3))</f>
        <v/>
      </c>
      <c r="U4" s="37">
        <f>Premissas!$B$90</f>
        <v/>
      </c>
    </row>
    <row r="5">
      <c r="A5" t="inlineStr">
        <is>
          <t>CAC realizado (marketing + canais ÷ matrículas)</t>
        </is>
      </c>
      <c r="B5" s="29">
        <f>IF(B4=0,0,('Custos mês a mês'!B$11+'Canais de aquisição'!C$10)/B4)</f>
        <v/>
      </c>
      <c r="C5" s="29">
        <f>IF(C4=0,0,('Custos mês a mês'!C$11+'Canais de aquisição'!D$10)/C4)</f>
        <v/>
      </c>
      <c r="D5" s="29">
        <f>IF(D4=0,0,('Custos mês a mês'!D$11+'Canais de aquisição'!E$10)/D4)</f>
        <v/>
      </c>
      <c r="E5" s="29">
        <f>IF(E4=0,0,('Custos mês a mês'!E$11+'Canais de aquisição'!F$10)/E4)</f>
        <v/>
      </c>
      <c r="F5" s="29">
        <f>IF(F4=0,0,('Custos mês a mês'!F$11+'Canais de aquisição'!G$10)/F4)</f>
        <v/>
      </c>
      <c r="G5" s="29">
        <f>IF(G4=0,0,('Custos mês a mês'!G$11+'Canais de aquisição'!H$10)/G4)</f>
        <v/>
      </c>
      <c r="H5" s="29">
        <f>IF(H4=0,0,('Custos mês a mês'!H$11+'Canais de aquisição'!I$10)/H4)</f>
        <v/>
      </c>
      <c r="I5" s="29">
        <f>IF(I4=0,0,('Custos mês a mês'!I$11+'Canais de aquisição'!J$10)/I4)</f>
        <v/>
      </c>
      <c r="J5" s="29">
        <f>IF(J4=0,0,('Custos mês a mês'!J$11+'Canais de aquisição'!K$10)/J4)</f>
        <v/>
      </c>
      <c r="K5" s="29">
        <f>IF(K4=0,0,('Custos mês a mês'!K$11+'Canais de aquisição'!L$10)/K4)</f>
        <v/>
      </c>
      <c r="L5" s="29">
        <f>IF(L4=0,0,('Custos mês a mês'!L$11+'Canais de aquisição'!M$10)/L4)</f>
        <v/>
      </c>
      <c r="M5" s="29">
        <f>IF(M4=0,0,('Custos mês a mês'!M$11+'Canais de aquisição'!N$10)/M4)</f>
        <v/>
      </c>
      <c r="N5" s="29">
        <f>IF(N4=0,0,('Custos mês a mês'!N$11+'Canais de aquisição'!O$10)/N4)</f>
        <v/>
      </c>
      <c r="O5" s="29">
        <f>IF(O4=0,0,('Custos mês a mês'!O$11+'Canais de aquisição'!P$10)/O4)</f>
        <v/>
      </c>
      <c r="P5" s="29">
        <f>IF(P4=0,0,('Custos mês a mês'!P$11+'Canais de aquisição'!Q$10)/P4)</f>
        <v/>
      </c>
      <c r="Q5" s="29">
        <f>IF(Q4=0,0,('Custos mês a mês'!Q$11+'Canais de aquisição'!R$10)/Q4)</f>
        <v/>
      </c>
      <c r="R5" s="29">
        <f>IF(R4=0,0,('Custos mês a mês'!R$11+'Canais de aquisição'!S$10)/R4)</f>
        <v/>
      </c>
      <c r="S5" s="29">
        <f>IF(S4=0,0,('Custos mês a mês'!S$11+'Canais de aquisição'!T$10)/S4)</f>
        <v/>
      </c>
    </row>
    <row r="6">
      <c r="A6" t="inlineStr">
        <is>
          <t>Desistências no mês</t>
        </is>
      </c>
      <c r="B6" s="30" t="n">
        <v>0</v>
      </c>
      <c r="C6" s="30">
        <f>B7*$B$53*Premissas!$B$55</f>
        <v/>
      </c>
      <c r="D6" s="30">
        <f>C7*$B$53*Premissas!$B$56</f>
        <v/>
      </c>
      <c r="E6" s="30">
        <f>D7*$B$53*Premissas!$B$45</f>
        <v/>
      </c>
      <c r="F6" s="30">
        <f>E7*$B$53*Premissas!$B$46</f>
        <v/>
      </c>
      <c r="G6" s="30">
        <f>F7*$B$53*Premissas!$B$47</f>
        <v/>
      </c>
      <c r="H6" s="30">
        <f>G7*$B$53*Premissas!$B$48</f>
        <v/>
      </c>
      <c r="I6" s="30">
        <f>H7*$B$53*Premissas!$B$49</f>
        <v/>
      </c>
      <c r="J6" s="30">
        <f>I7*$B$53*Premissas!$B$50</f>
        <v/>
      </c>
      <c r="K6" s="30">
        <f>J7*$B$53*Premissas!$B$51</f>
        <v/>
      </c>
      <c r="L6" s="30">
        <f>K7*$B$53*Premissas!$B$52</f>
        <v/>
      </c>
      <c r="M6" s="30">
        <f>L7*$B$53*Premissas!$B$53</f>
        <v/>
      </c>
      <c r="N6" s="30">
        <f>M7*$B$53*Premissas!$B$54</f>
        <v/>
      </c>
      <c r="O6" s="30">
        <f>N7*$B$53*Premissas!$B$55</f>
        <v/>
      </c>
      <c r="P6" s="30">
        <f>O7*$B$53*Premissas!$B$56</f>
        <v/>
      </c>
      <c r="Q6" s="30">
        <f>P7*$B$53*Premissas!$B$45</f>
        <v/>
      </c>
      <c r="R6" s="30">
        <f>Q7*$B$53*Premissas!$B$46</f>
        <v/>
      </c>
      <c r="S6" s="30">
        <f>R7*$B$53*Premissas!$B$47</f>
        <v/>
      </c>
      <c r="U6" s="38" t="inlineStr">
        <is>
          <t>🟢 VERDE FORTE = mês do BREAK-EVEN</t>
        </is>
      </c>
    </row>
    <row r="7">
      <c r="A7" s="14" t="inlineStr">
        <is>
          <t>Total de alunos</t>
        </is>
      </c>
      <c r="B7" s="39">
        <f>B4</f>
        <v/>
      </c>
      <c r="C7" s="39">
        <f>B7-C6+C4</f>
        <v/>
      </c>
      <c r="D7" s="39">
        <f>C7-D6+D4</f>
        <v/>
      </c>
      <c r="E7" s="39">
        <f>D7-E6+E4</f>
        <v/>
      </c>
      <c r="F7" s="39">
        <f>E7-F6+F4</f>
        <v/>
      </c>
      <c r="G7" s="39">
        <f>F7-G6+G4</f>
        <v/>
      </c>
      <c r="H7" s="39">
        <f>G7-H6+H4</f>
        <v/>
      </c>
      <c r="I7" s="39">
        <f>H7-I6+I4</f>
        <v/>
      </c>
      <c r="J7" s="39">
        <f>I7-J6+J4</f>
        <v/>
      </c>
      <c r="K7" s="39">
        <f>J7-K6+K4</f>
        <v/>
      </c>
      <c r="L7" s="39">
        <f>K7-L6+L4</f>
        <v/>
      </c>
      <c r="M7" s="39">
        <f>L7-M6+M4</f>
        <v/>
      </c>
      <c r="N7" s="39">
        <f>M7-N6+N4</f>
        <v/>
      </c>
      <c r="O7" s="39">
        <f>N7-O6+O4</f>
        <v/>
      </c>
      <c r="P7" s="39">
        <f>O7-P6+P4</f>
        <v/>
      </c>
      <c r="Q7" s="39">
        <f>P7-Q6+Q4</f>
        <v/>
      </c>
      <c r="R7" s="39">
        <f>Q7-R6+R4</f>
        <v/>
      </c>
      <c r="S7" s="39">
        <f>R7-S6+S4</f>
        <v/>
      </c>
      <c r="U7" s="40" t="inlineStr">
        <is>
          <t>🟦 AZUL = mês do PAYBACK</t>
        </is>
      </c>
    </row>
    <row r="8">
      <c r="A8" t="inlineStr">
        <is>
          <t>Professores necessários</t>
        </is>
      </c>
      <c r="B8" s="27" t="n">
        <v>0</v>
      </c>
      <c r="C8" s="27" t="n">
        <v>0</v>
      </c>
      <c r="D8" s="27">
        <f>CEILING(CEILING(D7*Premissas!$B$37/Premissas!$B$27,1)*Premissas!$B$28/Premissas!$B$34,1)+CEILING(CEILING(D7*Premissas!$B$38/Premissas!$B$30,1)*Premissas!$B$31/Premissas!$B$34,1)</f>
        <v/>
      </c>
      <c r="E8" s="27">
        <f>CEILING(CEILING(E7*Premissas!$B$37/Premissas!$B$27,1)*Premissas!$B$28/Premissas!$B$34,1)+CEILING(CEILING(E7*Premissas!$B$38/Premissas!$B$30,1)*Premissas!$B$31/Premissas!$B$34,1)</f>
        <v/>
      </c>
      <c r="F8" s="27">
        <f>CEILING(CEILING(F7*Premissas!$B$37/Premissas!$B$27,1)*Premissas!$B$28/Premissas!$B$34,1)+CEILING(CEILING(F7*Premissas!$B$38/Premissas!$B$30,1)*Premissas!$B$31/Premissas!$B$34,1)</f>
        <v/>
      </c>
      <c r="G8" s="27">
        <f>CEILING(CEILING(G7*Premissas!$B$37/Premissas!$B$27,1)*Premissas!$B$28/Premissas!$B$34,1)+CEILING(CEILING(G7*Premissas!$B$38/Premissas!$B$30,1)*Premissas!$B$31/Premissas!$B$34,1)</f>
        <v/>
      </c>
      <c r="H8" s="27">
        <f>CEILING(CEILING(H7*Premissas!$B$37/Premissas!$B$27,1)*Premissas!$B$28/Premissas!$B$34,1)+CEILING(CEILING(H7*Premissas!$B$38/Premissas!$B$30,1)*Premissas!$B$31/Premissas!$B$34,1)</f>
        <v/>
      </c>
      <c r="I8" s="27">
        <f>CEILING(CEILING(I7*Premissas!$B$37/Premissas!$B$27,1)*Premissas!$B$28/Premissas!$B$34,1)+CEILING(CEILING(I7*Premissas!$B$38/Premissas!$B$30,1)*Premissas!$B$31/Premissas!$B$34,1)</f>
        <v/>
      </c>
      <c r="J8" s="27">
        <f>CEILING(CEILING(J7*Premissas!$B$37/Premissas!$B$27,1)*Premissas!$B$28/Premissas!$B$34,1)+CEILING(CEILING(J7*Premissas!$B$38/Premissas!$B$30,1)*Premissas!$B$31/Premissas!$B$34,1)</f>
        <v/>
      </c>
      <c r="K8" s="27">
        <f>CEILING(CEILING(K7*Premissas!$B$37/Premissas!$B$27,1)*Premissas!$B$28/Premissas!$B$34,1)+CEILING(CEILING(K7*Premissas!$B$38/Premissas!$B$30,1)*Premissas!$B$31/Premissas!$B$34,1)</f>
        <v/>
      </c>
      <c r="L8" s="27">
        <f>CEILING(CEILING(L7*Premissas!$B$37/Premissas!$B$27,1)*Premissas!$B$28/Premissas!$B$34,1)+CEILING(CEILING(L7*Premissas!$B$38/Premissas!$B$30,1)*Premissas!$B$31/Premissas!$B$34,1)</f>
        <v/>
      </c>
      <c r="M8" s="27">
        <f>CEILING(CEILING(M7*Premissas!$B$37/Premissas!$B$27,1)*Premissas!$B$28/Premissas!$B$34,1)+CEILING(CEILING(M7*Premissas!$B$38/Premissas!$B$30,1)*Premissas!$B$31/Premissas!$B$34,1)</f>
        <v/>
      </c>
      <c r="N8" s="27">
        <f>CEILING(CEILING(N7*Premissas!$B$37/Premissas!$B$27,1)*Premissas!$B$28/Premissas!$B$34,1)+CEILING(CEILING(N7*Premissas!$B$38/Premissas!$B$30,1)*Premissas!$B$31/Premissas!$B$34,1)</f>
        <v/>
      </c>
      <c r="O8" s="27">
        <f>CEILING(CEILING(O7*Premissas!$B$37/Premissas!$B$27,1)*Premissas!$B$28/Premissas!$B$34,1)+CEILING(CEILING(O7*Premissas!$B$38/Premissas!$B$30,1)*Premissas!$B$31/Premissas!$B$34,1)</f>
        <v/>
      </c>
      <c r="P8" s="27">
        <f>CEILING(CEILING(P7*Premissas!$B$37/Premissas!$B$27,1)*Premissas!$B$28/Premissas!$B$34,1)+CEILING(CEILING(P7*Premissas!$B$38/Premissas!$B$30,1)*Premissas!$B$31/Premissas!$B$34,1)</f>
        <v/>
      </c>
      <c r="Q8" s="27">
        <f>CEILING(CEILING(Q7*Premissas!$B$37/Premissas!$B$27,1)*Premissas!$B$28/Premissas!$B$34,1)+CEILING(CEILING(Q7*Premissas!$B$38/Premissas!$B$30,1)*Premissas!$B$31/Premissas!$B$34,1)</f>
        <v/>
      </c>
      <c r="R8" s="27">
        <f>CEILING(CEILING(R7*Premissas!$B$37/Premissas!$B$27,1)*Premissas!$B$28/Premissas!$B$34,1)+CEILING(CEILING(R7*Premissas!$B$38/Premissas!$B$30,1)*Premissas!$B$31/Premissas!$B$34,1)</f>
        <v/>
      </c>
      <c r="S8" s="27">
        <f>CEILING(CEILING(S7*Premissas!$B$37/Premissas!$B$27,1)*Premissas!$B$28/Premissas!$B$34,1)+CEILING(CEILING(S7*Premissas!$B$38/Premissas!$B$30,1)*Premissas!$B$31/Premissas!$B$34,1)</f>
        <v/>
      </c>
      <c r="U8" s="41" t="inlineStr">
        <is>
          <t>🟩 verde claro = meses já positivos</t>
        </is>
      </c>
    </row>
    <row r="9">
      <c r="A9" t="inlineStr">
        <is>
          <t>Ocupação das salas (100% = grade cheia)</t>
        </is>
      </c>
      <c r="B9" s="28" t="n">
        <v>0</v>
      </c>
      <c r="C9" s="28" t="n">
        <v>0</v>
      </c>
      <c r="D9" s="28">
        <f>MAX(CEILING(D7*Premissas!$B$37/Premissas!$B$27,1)*Premissas!$B$28/(Premissas!$B$26*Premissas!$B$32*Premissas!$B$33*Premissas!$B$25),CEILING(D7*Premissas!$B$38/Premissas!$B$30,1)*Premissas!$B$31/(Premissas!$B$29*Premissas!$B$32*Premissas!$B$33*Premissas!$B$25))</f>
        <v/>
      </c>
      <c r="E9" s="28">
        <f>MAX(CEILING(E7*Premissas!$B$37/Premissas!$B$27,1)*Premissas!$B$28/(Premissas!$B$26*Premissas!$B$32*Premissas!$B$33*Premissas!$B$25),CEILING(E7*Premissas!$B$38/Premissas!$B$30,1)*Premissas!$B$31/(Premissas!$B$29*Premissas!$B$32*Premissas!$B$33*Premissas!$B$25))</f>
        <v/>
      </c>
      <c r="F9" s="28">
        <f>MAX(CEILING(F7*Premissas!$B$37/Premissas!$B$27,1)*Premissas!$B$28/(Premissas!$B$26*Premissas!$B$32*Premissas!$B$33*Premissas!$B$25),CEILING(F7*Premissas!$B$38/Premissas!$B$30,1)*Premissas!$B$31/(Premissas!$B$29*Premissas!$B$32*Premissas!$B$33*Premissas!$B$25))</f>
        <v/>
      </c>
      <c r="G9" s="28">
        <f>MAX(CEILING(G7*Premissas!$B$37/Premissas!$B$27,1)*Premissas!$B$28/(Premissas!$B$26*Premissas!$B$32*Premissas!$B$33*Premissas!$B$25),CEILING(G7*Premissas!$B$38/Premissas!$B$30,1)*Premissas!$B$31/(Premissas!$B$29*Premissas!$B$32*Premissas!$B$33*Premissas!$B$25))</f>
        <v/>
      </c>
      <c r="H9" s="28">
        <f>MAX(CEILING(H7*Premissas!$B$37/Premissas!$B$27,1)*Premissas!$B$28/(Premissas!$B$26*Premissas!$B$32*Premissas!$B$33*Premissas!$B$25),CEILING(H7*Premissas!$B$38/Premissas!$B$30,1)*Premissas!$B$31/(Premissas!$B$29*Premissas!$B$32*Premissas!$B$33*Premissas!$B$25))</f>
        <v/>
      </c>
      <c r="I9" s="28">
        <f>MAX(CEILING(I7*Premissas!$B$37/Premissas!$B$27,1)*Premissas!$B$28/(Premissas!$B$26*Premissas!$B$32*Premissas!$B$33*Premissas!$B$25),CEILING(I7*Premissas!$B$38/Premissas!$B$30,1)*Premissas!$B$31/(Premissas!$B$29*Premissas!$B$32*Premissas!$B$33*Premissas!$B$25))</f>
        <v/>
      </c>
      <c r="J9" s="28">
        <f>MAX(CEILING(J7*Premissas!$B$37/Premissas!$B$27,1)*Premissas!$B$28/(Premissas!$B$26*Premissas!$B$32*Premissas!$B$33*Premissas!$B$25),CEILING(J7*Premissas!$B$38/Premissas!$B$30,1)*Premissas!$B$31/(Premissas!$B$29*Premissas!$B$32*Premissas!$B$33*Premissas!$B$25))</f>
        <v/>
      </c>
      <c r="K9" s="28">
        <f>MAX(CEILING(K7*Premissas!$B$37/Premissas!$B$27,1)*Premissas!$B$28/(Premissas!$B$26*Premissas!$B$32*Premissas!$B$33*Premissas!$B$25),CEILING(K7*Premissas!$B$38/Premissas!$B$30,1)*Premissas!$B$31/(Premissas!$B$29*Premissas!$B$32*Premissas!$B$33*Premissas!$B$25))</f>
        <v/>
      </c>
      <c r="L9" s="28">
        <f>MAX(CEILING(L7*Premissas!$B$37/Premissas!$B$27,1)*Premissas!$B$28/(Premissas!$B$26*Premissas!$B$32*Premissas!$B$33*Premissas!$B$25),CEILING(L7*Premissas!$B$38/Premissas!$B$30,1)*Premissas!$B$31/(Premissas!$B$29*Premissas!$B$32*Premissas!$B$33*Premissas!$B$25))</f>
        <v/>
      </c>
      <c r="M9" s="28">
        <f>MAX(CEILING(M7*Premissas!$B$37/Premissas!$B$27,1)*Premissas!$B$28/(Premissas!$B$26*Premissas!$B$32*Premissas!$B$33*Premissas!$B$25),CEILING(M7*Premissas!$B$38/Premissas!$B$30,1)*Premissas!$B$31/(Premissas!$B$29*Premissas!$B$32*Premissas!$B$33*Premissas!$B$25))</f>
        <v/>
      </c>
      <c r="N9" s="28">
        <f>MAX(CEILING(N7*Premissas!$B$37/Premissas!$B$27,1)*Premissas!$B$28/(Premissas!$B$26*Premissas!$B$32*Premissas!$B$33*Premissas!$B$25),CEILING(N7*Premissas!$B$38/Premissas!$B$30,1)*Premissas!$B$31/(Premissas!$B$29*Premissas!$B$32*Premissas!$B$33*Premissas!$B$25))</f>
        <v/>
      </c>
      <c r="O9" s="28">
        <f>MAX(CEILING(O7*Premissas!$B$37/Premissas!$B$27,1)*Premissas!$B$28/(Premissas!$B$26*Premissas!$B$32*Premissas!$B$33*Premissas!$B$25),CEILING(O7*Premissas!$B$38/Premissas!$B$30,1)*Premissas!$B$31/(Premissas!$B$29*Premissas!$B$32*Premissas!$B$33*Premissas!$B$25))</f>
        <v/>
      </c>
      <c r="P9" s="28">
        <f>MAX(CEILING(P7*Premissas!$B$37/Premissas!$B$27,1)*Premissas!$B$28/(Premissas!$B$26*Premissas!$B$32*Premissas!$B$33*Premissas!$B$25),CEILING(P7*Premissas!$B$38/Premissas!$B$30,1)*Premissas!$B$31/(Premissas!$B$29*Premissas!$B$32*Premissas!$B$33*Premissas!$B$25))</f>
        <v/>
      </c>
      <c r="Q9" s="28">
        <f>MAX(CEILING(Q7*Premissas!$B$37/Premissas!$B$27,1)*Premissas!$B$28/(Premissas!$B$26*Premissas!$B$32*Premissas!$B$33*Premissas!$B$25),CEILING(Q7*Premissas!$B$38/Premissas!$B$30,1)*Premissas!$B$31/(Premissas!$B$29*Premissas!$B$32*Premissas!$B$33*Premissas!$B$25))</f>
        <v/>
      </c>
      <c r="R9" s="28">
        <f>MAX(CEILING(R7*Premissas!$B$37/Premissas!$B$27,1)*Premissas!$B$28/(Premissas!$B$26*Premissas!$B$32*Premissas!$B$33*Premissas!$B$25),CEILING(R7*Premissas!$B$38/Premissas!$B$30,1)*Premissas!$B$31/(Premissas!$B$29*Premissas!$B$32*Premissas!$B$33*Premissas!$B$25))</f>
        <v/>
      </c>
      <c r="S9" s="28">
        <f>MAX(CEILING(S7*Premissas!$B$37/Premissas!$B$27,1)*Premissas!$B$28/(Premissas!$B$26*Premissas!$B$32*Premissas!$B$33*Premissas!$B$25),CEILING(S7*Premissas!$B$38/Premissas!$B$30,1)*Premissas!$B$31/(Premissas!$B$29*Premissas!$B$32*Premissas!$B$33*Premissas!$B$25))</f>
        <v/>
      </c>
    </row>
    <row r="11">
      <c r="A11" s="8" t="inlineStr">
        <is>
          <t>RECEITA RECEBIDA (caixa)</t>
        </is>
      </c>
    </row>
    <row r="12">
      <c r="A12" t="inlineStr">
        <is>
          <t>Matrícula</t>
        </is>
      </c>
      <c r="B12" s="29">
        <f>B4*Premissas!$B$3</f>
        <v/>
      </c>
      <c r="C12" s="29">
        <f>C4*Premissas!$B$3</f>
        <v/>
      </c>
      <c r="D12" s="29">
        <f>D4*Premissas!$B$3</f>
        <v/>
      </c>
      <c r="E12" s="29">
        <f>E4*Premissas!$B$3</f>
        <v/>
      </c>
      <c r="F12" s="29">
        <f>F4*Premissas!$B$3</f>
        <v/>
      </c>
      <c r="G12" s="29">
        <f>G4*Premissas!$B$3</f>
        <v/>
      </c>
      <c r="H12" s="29">
        <f>H4*Premissas!$B$3</f>
        <v/>
      </c>
      <c r="I12" s="29">
        <f>I4*Premissas!$B$3</f>
        <v/>
      </c>
      <c r="J12" s="29">
        <f>J4*Premissas!$B$3</f>
        <v/>
      </c>
      <c r="K12" s="29">
        <f>K4*Premissas!$B$3</f>
        <v/>
      </c>
      <c r="L12" s="29">
        <f>L4*Premissas!$B$3</f>
        <v/>
      </c>
      <c r="M12" s="29">
        <f>M4*Premissas!$B$3</f>
        <v/>
      </c>
      <c r="N12" s="29">
        <f>N4*Premissas!$B$3</f>
        <v/>
      </c>
      <c r="O12" s="29">
        <f>O4*Premissas!$B$3</f>
        <v/>
      </c>
      <c r="P12" s="29">
        <f>P4*Premissas!$B$3</f>
        <v/>
      </c>
      <c r="Q12" s="29">
        <f>Q4*Premissas!$B$3</f>
        <v/>
      </c>
      <c r="R12" s="29">
        <f>R4*Premissas!$B$3</f>
        <v/>
      </c>
      <c r="S12" s="29">
        <f>S4*Premissas!$B$3</f>
        <v/>
      </c>
    </row>
    <row r="13">
      <c r="A13" t="inlineStr">
        <is>
          <t>Mensalidade recebida (líq. de inadimplência)</t>
        </is>
      </c>
      <c r="B13" s="29" t="n">
        <v>0</v>
      </c>
      <c r="C13" s="29" t="n">
        <v>0</v>
      </c>
      <c r="D13" s="29">
        <f>C7*$B$55*(1-$B$54)</f>
        <v/>
      </c>
      <c r="E13" s="29">
        <f>D7*$B$55*(1-$B$54)</f>
        <v/>
      </c>
      <c r="F13" s="29">
        <f>E7*$B$55*(1-$B$54)</f>
        <v/>
      </c>
      <c r="G13" s="29">
        <f>F7*$B$55*(1-$B$54)</f>
        <v/>
      </c>
      <c r="H13" s="29">
        <f>G7*$B$55*(1-$B$54)</f>
        <v/>
      </c>
      <c r="I13" s="29">
        <f>H7*$B$55*(1-$B$54)</f>
        <v/>
      </c>
      <c r="J13" s="29">
        <f>I7*$B$55*(1-$B$54)</f>
        <v/>
      </c>
      <c r="K13" s="29">
        <f>J7*$B$55*(1-$B$54)</f>
        <v/>
      </c>
      <c r="L13" s="29">
        <f>K7*$B$55*(1-$B$54)</f>
        <v/>
      </c>
      <c r="M13" s="29">
        <f>L7*$B$55*(1-$B$54)</f>
        <v/>
      </c>
      <c r="N13" s="29">
        <f>M7*$B$55*(1-$B$54)</f>
        <v/>
      </c>
      <c r="O13" s="29">
        <f>N7*$B$55*(1-$B$54)</f>
        <v/>
      </c>
      <c r="P13" s="29">
        <f>O7*$B$55*(1-$B$54)</f>
        <v/>
      </c>
      <c r="Q13" s="29">
        <f>P7*$B$55*(1-$B$54)</f>
        <v/>
      </c>
      <c r="R13" s="29">
        <f>Q7*$B$55*(1-$B$54)</f>
        <v/>
      </c>
      <c r="S13" s="29">
        <f>R7*$B$55*(1-$B$54)</f>
        <v/>
      </c>
    </row>
    <row r="14">
      <c r="A14" t="inlineStr">
        <is>
          <t>Material antecipado no cartão</t>
        </is>
      </c>
      <c r="B14" s="29">
        <f>B4*Premissas!$B$5</f>
        <v/>
      </c>
      <c r="C14" s="29">
        <f>C4*Premissas!$B$5</f>
        <v/>
      </c>
      <c r="D14" s="29">
        <f>D4*Premissas!$B$5</f>
        <v/>
      </c>
      <c r="E14" s="29">
        <f>E4*Premissas!$B$5</f>
        <v/>
      </c>
      <c r="F14" s="29">
        <f>F4*Premissas!$B$5</f>
        <v/>
      </c>
      <c r="G14" s="29">
        <f>G4*Premissas!$B$5</f>
        <v/>
      </c>
      <c r="H14" s="29">
        <f>H4*Premissas!$B$5</f>
        <v/>
      </c>
      <c r="I14" s="29">
        <f>I4*Premissas!$B$5</f>
        <v/>
      </c>
      <c r="J14" s="29">
        <f>J4*Premissas!$B$5</f>
        <v/>
      </c>
      <c r="K14" s="29">
        <f>K4*Premissas!$B$5</f>
        <v/>
      </c>
      <c r="L14" s="29">
        <f>L4*Premissas!$B$5</f>
        <v/>
      </c>
      <c r="M14" s="29">
        <f>M4*Premissas!$B$5</f>
        <v/>
      </c>
      <c r="N14" s="29">
        <f>N4*Premissas!$B$5</f>
        <v/>
      </c>
      <c r="O14" s="29">
        <f>O4*Premissas!$B$5</f>
        <v/>
      </c>
      <c r="P14" s="29">
        <f>P4*Premissas!$B$5</f>
        <v/>
      </c>
      <c r="Q14" s="29">
        <f>Q4*Premissas!$B$5</f>
        <v/>
      </c>
      <c r="R14" s="29">
        <f>R4*Premissas!$B$5</f>
        <v/>
      </c>
      <c r="S14" s="29">
        <f>S4*Premissas!$B$5</f>
        <v/>
      </c>
    </row>
    <row r="15">
      <c r="A15" s="42" t="inlineStr">
        <is>
          <t>Receita recebida</t>
        </is>
      </c>
      <c r="B15" s="24">
        <f>SUM(B12:B14)</f>
        <v/>
      </c>
      <c r="C15" s="24">
        <f>SUM(C12:C14)</f>
        <v/>
      </c>
      <c r="D15" s="24">
        <f>SUM(D12:D14)</f>
        <v/>
      </c>
      <c r="E15" s="24">
        <f>SUM(E12:E14)</f>
        <v/>
      </c>
      <c r="F15" s="24">
        <f>SUM(F12:F14)</f>
        <v/>
      </c>
      <c r="G15" s="24">
        <f>SUM(G12:G14)</f>
        <v/>
      </c>
      <c r="H15" s="24">
        <f>SUM(H12:H14)</f>
        <v/>
      </c>
      <c r="I15" s="24">
        <f>SUM(I12:I14)</f>
        <v/>
      </c>
      <c r="J15" s="24">
        <f>SUM(J12:J14)</f>
        <v/>
      </c>
      <c r="K15" s="24">
        <f>SUM(K12:K14)</f>
        <v/>
      </c>
      <c r="L15" s="24">
        <f>SUM(L12:L14)</f>
        <v/>
      </c>
      <c r="M15" s="24">
        <f>SUM(M12:M14)</f>
        <v/>
      </c>
      <c r="N15" s="24">
        <f>SUM(N12:N14)</f>
        <v/>
      </c>
      <c r="O15" s="24">
        <f>SUM(O12:O14)</f>
        <v/>
      </c>
      <c r="P15" s="24">
        <f>SUM(P12:P14)</f>
        <v/>
      </c>
      <c r="Q15" s="24">
        <f>SUM(Q12:Q14)</f>
        <v/>
      </c>
      <c r="R15" s="24">
        <f>SUM(R12:R14)</f>
        <v/>
      </c>
      <c r="S15" s="24">
        <f>SUM(S12:S14)</f>
        <v/>
      </c>
    </row>
    <row r="17">
      <c r="A17" s="8" t="inlineStr">
        <is>
          <t>BASE DO SIMPLES NACIONAL</t>
        </is>
      </c>
    </row>
    <row r="18">
      <c r="A18" t="inlineStr">
        <is>
          <t>Faturamento do mês (nota emitida)</t>
        </is>
      </c>
      <c r="B18" s="29">
        <f>B4*Premissas!$B$3+B4*Premissas!$B$4</f>
        <v/>
      </c>
      <c r="C18" s="29">
        <f>C4*Premissas!$B$3+C4*Premissas!$B$4</f>
        <v/>
      </c>
      <c r="D18" s="29">
        <f>D4*Premissas!$B$3+C7*$B$55+D4*Premissas!$B$4</f>
        <v/>
      </c>
      <c r="E18" s="29">
        <f>E4*Premissas!$B$3+D7*$B$55+E4*Premissas!$B$4</f>
        <v/>
      </c>
      <c r="F18" s="29">
        <f>F4*Premissas!$B$3+E7*$B$55+F4*Premissas!$B$4</f>
        <v/>
      </c>
      <c r="G18" s="29">
        <f>G4*Premissas!$B$3+F7*$B$55+G4*Premissas!$B$4</f>
        <v/>
      </c>
      <c r="H18" s="29">
        <f>H4*Premissas!$B$3+G7*$B$55+H4*Premissas!$B$4</f>
        <v/>
      </c>
      <c r="I18" s="29">
        <f>I4*Premissas!$B$3+H7*$B$55+I4*Premissas!$B$4</f>
        <v/>
      </c>
      <c r="J18" s="29">
        <f>J4*Premissas!$B$3+I7*$B$55+J4*Premissas!$B$4</f>
        <v/>
      </c>
      <c r="K18" s="29">
        <f>K4*Premissas!$B$3+J7*$B$55+K4*Premissas!$B$4</f>
        <v/>
      </c>
      <c r="L18" s="29">
        <f>L4*Premissas!$B$3+K7*$B$55+L4*Premissas!$B$4</f>
        <v/>
      </c>
      <c r="M18" s="29">
        <f>M4*Premissas!$B$3+L7*$B$55+M4*Premissas!$B$4</f>
        <v/>
      </c>
      <c r="N18" s="29">
        <f>N4*Premissas!$B$3+M7*$B$55+N4*Premissas!$B$4</f>
        <v/>
      </c>
      <c r="O18" s="29">
        <f>O4*Premissas!$B$3+N7*$B$55+O4*Premissas!$B$4</f>
        <v/>
      </c>
      <c r="P18" s="29">
        <f>P4*Premissas!$B$3+O7*$B$55+P4*Premissas!$B$4</f>
        <v/>
      </c>
      <c r="Q18" s="29">
        <f>Q4*Premissas!$B$3+P7*$B$55+Q4*Premissas!$B$4</f>
        <v/>
      </c>
      <c r="R18" s="29">
        <f>R4*Premissas!$B$3+Q7*$B$55+R4*Premissas!$B$4</f>
        <v/>
      </c>
      <c r="S18" s="29">
        <f>S4*Premissas!$B$3+R7*$B$55+S4*Premissas!$B$4</f>
        <v/>
      </c>
    </row>
    <row r="19">
      <c r="A19" t="inlineStr">
        <is>
          <t>RBT12 proporcionalizado</t>
        </is>
      </c>
      <c r="B19" s="29">
        <f>SUM($B$18:B18)/1*12</f>
        <v/>
      </c>
      <c r="C19" s="29">
        <f>SUM($B$18:C18)/2*12</f>
        <v/>
      </c>
      <c r="D19" s="29">
        <f>SUM($B$18:D18)/3*12</f>
        <v/>
      </c>
      <c r="E19" s="29">
        <f>SUM($B$18:E18)/4*12</f>
        <v/>
      </c>
      <c r="F19" s="29">
        <f>SUM($B$18:F18)/5*12</f>
        <v/>
      </c>
      <c r="G19" s="29">
        <f>SUM($B$18:G18)/6*12</f>
        <v/>
      </c>
      <c r="H19" s="29">
        <f>SUM($B$18:H18)/7*12</f>
        <v/>
      </c>
      <c r="I19" s="29">
        <f>SUM($B$18:I18)/8*12</f>
        <v/>
      </c>
      <c r="J19" s="29">
        <f>SUM($B$18:J18)/9*12</f>
        <v/>
      </c>
      <c r="K19" s="29">
        <f>SUM($B$18:K18)/10*12</f>
        <v/>
      </c>
      <c r="L19" s="29">
        <f>SUM($B$18:L18)/11*12</f>
        <v/>
      </c>
      <c r="M19" s="29">
        <f>SUM(B18:M18)</f>
        <v/>
      </c>
      <c r="N19" s="29">
        <f>SUM(C18:N18)</f>
        <v/>
      </c>
      <c r="O19" s="29">
        <f>SUM(D18:O18)</f>
        <v/>
      </c>
      <c r="P19" s="29">
        <f>SUM(E18:P18)</f>
        <v/>
      </c>
      <c r="Q19" s="29">
        <f>SUM(F18:Q18)</f>
        <v/>
      </c>
      <c r="R19" s="29">
        <f>SUM(G18:R18)</f>
        <v/>
      </c>
      <c r="S19" s="29">
        <f>SUM(H18:S18)</f>
        <v/>
      </c>
    </row>
    <row r="20">
      <c r="A20" s="14" t="inlineStr">
        <is>
          <t>Alíquota efetiva do Simples</t>
        </is>
      </c>
      <c r="B20" s="43">
        <f>IF(B19=0,Premissas!$C$66,IF(B19&lt;=Premissas!$B$66,(B19*Premissas!$C$66-Premissas!$D$66)/B19,IF(B19&lt;=Premissas!$B$67,(B19*Premissas!$C$67-Premissas!$D$67)/B19,IF(B19&lt;=Premissas!$B$68,(B19*Premissas!$C$68-Premissas!$D$68)/B19,IF(B19&lt;=Premissas!$B$69,(B19*Premissas!$C$69-Premissas!$D$69)/B19,IF(B19&lt;=Premissas!$B$70,(B19*Premissas!$C$70-Premissas!$D$70)/B19,(B19*Premissas!$C$71-Premissas!$D$71)/B19))))))</f>
        <v/>
      </c>
      <c r="C20" s="43">
        <f>IF(C19=0,Premissas!$C$66,IF(C19&lt;=Premissas!$B$66,(C19*Premissas!$C$66-Premissas!$D$66)/C19,IF(C19&lt;=Premissas!$B$67,(C19*Premissas!$C$67-Premissas!$D$67)/C19,IF(C19&lt;=Premissas!$B$68,(C19*Premissas!$C$68-Premissas!$D$68)/C19,IF(C19&lt;=Premissas!$B$69,(C19*Premissas!$C$69-Premissas!$D$69)/C19,IF(C19&lt;=Premissas!$B$70,(C19*Premissas!$C$70-Premissas!$D$70)/C19,(C19*Premissas!$C$71-Premissas!$D$71)/C19))))))</f>
        <v/>
      </c>
      <c r="D20" s="43">
        <f>IF(D19=0,Premissas!$C$66,IF(D19&lt;=Premissas!$B$66,(D19*Premissas!$C$66-Premissas!$D$66)/D19,IF(D19&lt;=Premissas!$B$67,(D19*Premissas!$C$67-Premissas!$D$67)/D19,IF(D19&lt;=Premissas!$B$68,(D19*Premissas!$C$68-Premissas!$D$68)/D19,IF(D19&lt;=Premissas!$B$69,(D19*Premissas!$C$69-Premissas!$D$69)/D19,IF(D19&lt;=Premissas!$B$70,(D19*Premissas!$C$70-Premissas!$D$70)/D19,(D19*Premissas!$C$71-Premissas!$D$71)/D19))))))</f>
        <v/>
      </c>
      <c r="E20" s="43">
        <f>IF(E19=0,Premissas!$C$66,IF(E19&lt;=Premissas!$B$66,(E19*Premissas!$C$66-Premissas!$D$66)/E19,IF(E19&lt;=Premissas!$B$67,(E19*Premissas!$C$67-Premissas!$D$67)/E19,IF(E19&lt;=Premissas!$B$68,(E19*Premissas!$C$68-Premissas!$D$68)/E19,IF(E19&lt;=Premissas!$B$69,(E19*Premissas!$C$69-Premissas!$D$69)/E19,IF(E19&lt;=Premissas!$B$70,(E19*Premissas!$C$70-Premissas!$D$70)/E19,(E19*Premissas!$C$71-Premissas!$D$71)/E19))))))</f>
        <v/>
      </c>
      <c r="F20" s="43">
        <f>IF(F19=0,Premissas!$C$66,IF(F19&lt;=Premissas!$B$66,(F19*Premissas!$C$66-Premissas!$D$66)/F19,IF(F19&lt;=Premissas!$B$67,(F19*Premissas!$C$67-Premissas!$D$67)/F19,IF(F19&lt;=Premissas!$B$68,(F19*Premissas!$C$68-Premissas!$D$68)/F19,IF(F19&lt;=Premissas!$B$69,(F19*Premissas!$C$69-Premissas!$D$69)/F19,IF(F19&lt;=Premissas!$B$70,(F19*Premissas!$C$70-Premissas!$D$70)/F19,(F19*Premissas!$C$71-Premissas!$D$71)/F19))))))</f>
        <v/>
      </c>
      <c r="G20" s="43">
        <f>IF(G19=0,Premissas!$C$66,IF(G19&lt;=Premissas!$B$66,(G19*Premissas!$C$66-Premissas!$D$66)/G19,IF(G19&lt;=Premissas!$B$67,(G19*Premissas!$C$67-Premissas!$D$67)/G19,IF(G19&lt;=Premissas!$B$68,(G19*Premissas!$C$68-Premissas!$D$68)/G19,IF(G19&lt;=Premissas!$B$69,(G19*Premissas!$C$69-Premissas!$D$69)/G19,IF(G19&lt;=Premissas!$B$70,(G19*Premissas!$C$70-Premissas!$D$70)/G19,(G19*Premissas!$C$71-Premissas!$D$71)/G19))))))</f>
        <v/>
      </c>
      <c r="H20" s="43">
        <f>IF(H19=0,Premissas!$C$66,IF(H19&lt;=Premissas!$B$66,(H19*Premissas!$C$66-Premissas!$D$66)/H19,IF(H19&lt;=Premissas!$B$67,(H19*Premissas!$C$67-Premissas!$D$67)/H19,IF(H19&lt;=Premissas!$B$68,(H19*Premissas!$C$68-Premissas!$D$68)/H19,IF(H19&lt;=Premissas!$B$69,(H19*Premissas!$C$69-Premissas!$D$69)/H19,IF(H19&lt;=Premissas!$B$70,(H19*Premissas!$C$70-Premissas!$D$70)/H19,(H19*Premissas!$C$71-Premissas!$D$71)/H19))))))</f>
        <v/>
      </c>
      <c r="I20" s="43">
        <f>IF(I19=0,Premissas!$C$66,IF(I19&lt;=Premissas!$B$66,(I19*Premissas!$C$66-Premissas!$D$66)/I19,IF(I19&lt;=Premissas!$B$67,(I19*Premissas!$C$67-Premissas!$D$67)/I19,IF(I19&lt;=Premissas!$B$68,(I19*Premissas!$C$68-Premissas!$D$68)/I19,IF(I19&lt;=Premissas!$B$69,(I19*Premissas!$C$69-Premissas!$D$69)/I19,IF(I19&lt;=Premissas!$B$70,(I19*Premissas!$C$70-Premissas!$D$70)/I19,(I19*Premissas!$C$71-Premissas!$D$71)/I19))))))</f>
        <v/>
      </c>
      <c r="J20" s="43">
        <f>IF(J19=0,Premissas!$C$66,IF(J19&lt;=Premissas!$B$66,(J19*Premissas!$C$66-Premissas!$D$66)/J19,IF(J19&lt;=Premissas!$B$67,(J19*Premissas!$C$67-Premissas!$D$67)/J19,IF(J19&lt;=Premissas!$B$68,(J19*Premissas!$C$68-Premissas!$D$68)/J19,IF(J19&lt;=Premissas!$B$69,(J19*Premissas!$C$69-Premissas!$D$69)/J19,IF(J19&lt;=Premissas!$B$70,(J19*Premissas!$C$70-Premissas!$D$70)/J19,(J19*Premissas!$C$71-Premissas!$D$71)/J19))))))</f>
        <v/>
      </c>
      <c r="K20" s="43">
        <f>IF(K19=0,Premissas!$C$66,IF(K19&lt;=Premissas!$B$66,(K19*Premissas!$C$66-Premissas!$D$66)/K19,IF(K19&lt;=Premissas!$B$67,(K19*Premissas!$C$67-Premissas!$D$67)/K19,IF(K19&lt;=Premissas!$B$68,(K19*Premissas!$C$68-Premissas!$D$68)/K19,IF(K19&lt;=Premissas!$B$69,(K19*Premissas!$C$69-Premissas!$D$69)/K19,IF(K19&lt;=Premissas!$B$70,(K19*Premissas!$C$70-Premissas!$D$70)/K19,(K19*Premissas!$C$71-Premissas!$D$71)/K19))))))</f>
        <v/>
      </c>
      <c r="L20" s="43">
        <f>IF(L19=0,Premissas!$C$66,IF(L19&lt;=Premissas!$B$66,(L19*Premissas!$C$66-Premissas!$D$66)/L19,IF(L19&lt;=Premissas!$B$67,(L19*Premissas!$C$67-Premissas!$D$67)/L19,IF(L19&lt;=Premissas!$B$68,(L19*Premissas!$C$68-Premissas!$D$68)/L19,IF(L19&lt;=Premissas!$B$69,(L19*Premissas!$C$69-Premissas!$D$69)/L19,IF(L19&lt;=Premissas!$B$70,(L19*Premissas!$C$70-Premissas!$D$70)/L19,(L19*Premissas!$C$71-Premissas!$D$71)/L19))))))</f>
        <v/>
      </c>
      <c r="M20" s="43">
        <f>IF(M19=0,Premissas!$C$66,IF(M19&lt;=Premissas!$B$66,(M19*Premissas!$C$66-Premissas!$D$66)/M19,IF(M19&lt;=Premissas!$B$67,(M19*Premissas!$C$67-Premissas!$D$67)/M19,IF(M19&lt;=Premissas!$B$68,(M19*Premissas!$C$68-Premissas!$D$68)/M19,IF(M19&lt;=Premissas!$B$69,(M19*Premissas!$C$69-Premissas!$D$69)/M19,IF(M19&lt;=Premissas!$B$70,(M19*Premissas!$C$70-Premissas!$D$70)/M19,(M19*Premissas!$C$71-Premissas!$D$71)/M19))))))</f>
        <v/>
      </c>
      <c r="N20" s="43">
        <f>IF(N19=0,Premissas!$C$66,IF(N19&lt;=Premissas!$B$66,(N19*Premissas!$C$66-Premissas!$D$66)/N19,IF(N19&lt;=Premissas!$B$67,(N19*Premissas!$C$67-Premissas!$D$67)/N19,IF(N19&lt;=Premissas!$B$68,(N19*Premissas!$C$68-Premissas!$D$68)/N19,IF(N19&lt;=Premissas!$B$69,(N19*Premissas!$C$69-Premissas!$D$69)/N19,IF(N19&lt;=Premissas!$B$70,(N19*Premissas!$C$70-Premissas!$D$70)/N19,(N19*Premissas!$C$71-Premissas!$D$71)/N19))))))</f>
        <v/>
      </c>
      <c r="O20" s="43">
        <f>IF(O19=0,Premissas!$C$66,IF(O19&lt;=Premissas!$B$66,(O19*Premissas!$C$66-Premissas!$D$66)/O19,IF(O19&lt;=Premissas!$B$67,(O19*Premissas!$C$67-Premissas!$D$67)/O19,IF(O19&lt;=Premissas!$B$68,(O19*Premissas!$C$68-Premissas!$D$68)/O19,IF(O19&lt;=Premissas!$B$69,(O19*Premissas!$C$69-Premissas!$D$69)/O19,IF(O19&lt;=Premissas!$B$70,(O19*Premissas!$C$70-Premissas!$D$70)/O19,(O19*Premissas!$C$71-Premissas!$D$71)/O19))))))</f>
        <v/>
      </c>
      <c r="P20" s="43">
        <f>IF(P19=0,Premissas!$C$66,IF(P19&lt;=Premissas!$B$66,(P19*Premissas!$C$66-Premissas!$D$66)/P19,IF(P19&lt;=Premissas!$B$67,(P19*Premissas!$C$67-Premissas!$D$67)/P19,IF(P19&lt;=Premissas!$B$68,(P19*Premissas!$C$68-Premissas!$D$68)/P19,IF(P19&lt;=Premissas!$B$69,(P19*Premissas!$C$69-Premissas!$D$69)/P19,IF(P19&lt;=Premissas!$B$70,(P19*Premissas!$C$70-Premissas!$D$70)/P19,(P19*Premissas!$C$71-Premissas!$D$71)/P19))))))</f>
        <v/>
      </c>
      <c r="Q20" s="43">
        <f>IF(Q19=0,Premissas!$C$66,IF(Q19&lt;=Premissas!$B$66,(Q19*Premissas!$C$66-Premissas!$D$66)/Q19,IF(Q19&lt;=Premissas!$B$67,(Q19*Premissas!$C$67-Premissas!$D$67)/Q19,IF(Q19&lt;=Premissas!$B$68,(Q19*Premissas!$C$68-Premissas!$D$68)/Q19,IF(Q19&lt;=Premissas!$B$69,(Q19*Premissas!$C$69-Premissas!$D$69)/Q19,IF(Q19&lt;=Premissas!$B$70,(Q19*Premissas!$C$70-Premissas!$D$70)/Q19,(Q19*Premissas!$C$71-Premissas!$D$71)/Q19))))))</f>
        <v/>
      </c>
      <c r="R20" s="43">
        <f>IF(R19=0,Premissas!$C$66,IF(R19&lt;=Premissas!$B$66,(R19*Premissas!$C$66-Premissas!$D$66)/R19,IF(R19&lt;=Premissas!$B$67,(R19*Premissas!$C$67-Premissas!$D$67)/R19,IF(R19&lt;=Premissas!$B$68,(R19*Premissas!$C$68-Premissas!$D$68)/R19,IF(R19&lt;=Premissas!$B$69,(R19*Premissas!$C$69-Premissas!$D$69)/R19,IF(R19&lt;=Premissas!$B$70,(R19*Premissas!$C$70-Premissas!$D$70)/R19,(R19*Premissas!$C$71-Premissas!$D$71)/R19))))))</f>
        <v/>
      </c>
      <c r="S20" s="43">
        <f>IF(S19=0,Premissas!$C$66,IF(S19&lt;=Premissas!$B$66,(S19*Premissas!$C$66-Premissas!$D$66)/S19,IF(S19&lt;=Premissas!$B$67,(S19*Premissas!$C$67-Premissas!$D$67)/S19,IF(S19&lt;=Premissas!$B$68,(S19*Premissas!$C$68-Premissas!$D$68)/S19,IF(S19&lt;=Premissas!$B$69,(S19*Premissas!$C$69-Premissas!$D$69)/S19,IF(S19&lt;=Premissas!$B$70,(S19*Premissas!$C$70-Premissas!$D$70)/S19,(S19*Premissas!$C$71-Premissas!$D$71)/S19))))))</f>
        <v/>
      </c>
    </row>
    <row r="22">
      <c r="A22" s="8" t="inlineStr">
        <is>
          <t>DESPESAS</t>
        </is>
      </c>
    </row>
    <row r="23">
      <c r="A23" t="inlineStr">
        <is>
          <t>Impostos (Simples progressivo)</t>
        </is>
      </c>
      <c r="B23" s="29">
        <f>B18*B20</f>
        <v/>
      </c>
      <c r="C23" s="29">
        <f>C18*C20</f>
        <v/>
      </c>
      <c r="D23" s="29">
        <f>D18*D20</f>
        <v/>
      </c>
      <c r="E23" s="29">
        <f>E18*E20</f>
        <v/>
      </c>
      <c r="F23" s="29">
        <f>F18*F20</f>
        <v/>
      </c>
      <c r="G23" s="29">
        <f>G18*G20</f>
        <v/>
      </c>
      <c r="H23" s="29">
        <f>H18*H20</f>
        <v/>
      </c>
      <c r="I23" s="29">
        <f>I18*I20</f>
        <v/>
      </c>
      <c r="J23" s="29">
        <f>J18*J20</f>
        <v/>
      </c>
      <c r="K23" s="29">
        <f>K18*K20</f>
        <v/>
      </c>
      <c r="L23" s="29">
        <f>L18*L20</f>
        <v/>
      </c>
      <c r="M23" s="29">
        <f>M18*M20</f>
        <v/>
      </c>
      <c r="N23" s="29">
        <f>N18*N20</f>
        <v/>
      </c>
      <c r="O23" s="29">
        <f>O18*O20</f>
        <v/>
      </c>
      <c r="P23" s="29">
        <f>P18*P20</f>
        <v/>
      </c>
      <c r="Q23" s="29">
        <f>Q18*Q20</f>
        <v/>
      </c>
      <c r="R23" s="29">
        <f>R18*R20</f>
        <v/>
      </c>
      <c r="S23" s="29">
        <f>S18*S20</f>
        <v/>
      </c>
    </row>
    <row r="24">
      <c r="A24" t="inlineStr">
        <is>
          <t>Material — parcelas 12x</t>
        </is>
      </c>
      <c r="B24" s="29" t="n">
        <v>0</v>
      </c>
      <c r="C24" s="29" t="n">
        <v>0</v>
      </c>
      <c r="D24" s="29">
        <f>SUM($B$4:D4)*Premissas!$B$6/12</f>
        <v/>
      </c>
      <c r="E24" s="29">
        <f>SUM($B$4:E4)*Premissas!$B$6/12</f>
        <v/>
      </c>
      <c r="F24" s="29">
        <f>SUM($B$4:F4)*Premissas!$B$6/12</f>
        <v/>
      </c>
      <c r="G24" s="29">
        <f>SUM($B$4:G4)*Premissas!$B$6/12</f>
        <v/>
      </c>
      <c r="H24" s="29">
        <f>SUM($B$4:H4)*Premissas!$B$6/12</f>
        <v/>
      </c>
      <c r="I24" s="29">
        <f>SUM($B$4:I4)*Premissas!$B$6/12</f>
        <v/>
      </c>
      <c r="J24" s="29">
        <f>SUM($B$4:J4)*Premissas!$B$6/12</f>
        <v/>
      </c>
      <c r="K24" s="29">
        <f>SUM($B$4:K4)*Premissas!$B$6/12</f>
        <v/>
      </c>
      <c r="L24" s="29">
        <f>SUM($B$4:L4)*Premissas!$B$6/12</f>
        <v/>
      </c>
      <c r="M24" s="29">
        <f>SUM($B$4:M4)*Premissas!$B$6/12</f>
        <v/>
      </c>
      <c r="N24" s="29">
        <f>SUM($B$4:N4)*Premissas!$B$6/12</f>
        <v/>
      </c>
      <c r="O24" s="29">
        <f>SUM($B$4:O4)*Premissas!$B$6/12</f>
        <v/>
      </c>
      <c r="P24" s="29">
        <f>SUM(E4:P4)*Premissas!$B$6/12</f>
        <v/>
      </c>
      <c r="Q24" s="29">
        <f>SUM(F4:Q4)*Premissas!$B$6/12</f>
        <v/>
      </c>
      <c r="R24" s="29">
        <f>SUM(G4:R4)*Premissas!$B$6/12</f>
        <v/>
      </c>
      <c r="S24" s="29">
        <f>SUM(H4:S4)*Premissas!$B$6/12</f>
        <v/>
      </c>
    </row>
    <row r="25">
      <c r="A25" t="inlineStr">
        <is>
          <t>Comissão do vendedor</t>
        </is>
      </c>
      <c r="B25" s="29">
        <f>IF(B2&gt;=Premissas!$D$14,B4*Premissas!$B$10*(1+Premissas!$B$11),0)</f>
        <v/>
      </c>
      <c r="C25" s="29">
        <f>IF(C2&gt;=Premissas!$D$14,C4*Premissas!$B$10*(1+Premissas!$B$11),0)</f>
        <v/>
      </c>
      <c r="D25" s="29">
        <f>IF(D2&gt;=Premissas!$D$14,D4*Premissas!$B$10*(1+Premissas!$B$11),0)</f>
        <v/>
      </c>
      <c r="E25" s="29">
        <f>IF(E2&gt;=Premissas!$D$14,E4*Premissas!$B$10*(1+Premissas!$B$11),0)</f>
        <v/>
      </c>
      <c r="F25" s="29">
        <f>IF(F2&gt;=Premissas!$D$14,F4*Premissas!$B$10*(1+Premissas!$B$11),0)</f>
        <v/>
      </c>
      <c r="G25" s="29">
        <f>IF(G2&gt;=Premissas!$D$14,G4*Premissas!$B$10*(1+Premissas!$B$11),0)</f>
        <v/>
      </c>
      <c r="H25" s="29">
        <f>IF(H2&gt;=Premissas!$D$14,H4*Premissas!$B$10*(1+Premissas!$B$11),0)</f>
        <v/>
      </c>
      <c r="I25" s="29">
        <f>IF(I2&gt;=Premissas!$D$14,I4*Premissas!$B$10*(1+Premissas!$B$11),0)</f>
        <v/>
      </c>
      <c r="J25" s="29">
        <f>IF(J2&gt;=Premissas!$D$14,J4*Premissas!$B$10*(1+Premissas!$B$11),0)</f>
        <v/>
      </c>
      <c r="K25" s="29">
        <f>IF(K2&gt;=Premissas!$D$14,K4*Premissas!$B$10*(1+Premissas!$B$11),0)</f>
        <v/>
      </c>
      <c r="L25" s="29">
        <f>IF(L2&gt;=Premissas!$D$14,L4*Premissas!$B$10*(1+Premissas!$B$11),0)</f>
        <v/>
      </c>
      <c r="M25" s="29">
        <f>IF(M2&gt;=Premissas!$D$14,M4*Premissas!$B$10*(1+Premissas!$B$11),0)</f>
        <v/>
      </c>
      <c r="N25" s="29">
        <f>IF(N2&gt;=Premissas!$D$14,N4*Premissas!$B$10*(1+Premissas!$B$11),0)</f>
        <v/>
      </c>
      <c r="O25" s="29">
        <f>IF(O2&gt;=Premissas!$D$14,O4*Premissas!$B$10*(1+Premissas!$B$11),0)</f>
        <v/>
      </c>
      <c r="P25" s="29">
        <f>IF(P2&gt;=Premissas!$D$14,P4*Premissas!$B$10*(1+Premissas!$B$11),0)</f>
        <v/>
      </c>
      <c r="Q25" s="29">
        <f>IF(Q2&gt;=Premissas!$D$14,Q4*Premissas!$B$10*(1+Premissas!$B$11),0)</f>
        <v/>
      </c>
      <c r="R25" s="29">
        <f>IF(R2&gt;=Premissas!$D$14,R4*Premissas!$B$10*(1+Premissas!$B$11),0)</f>
        <v/>
      </c>
      <c r="S25" s="29">
        <f>IF(S2&gt;=Premissas!$D$14,S4*Premissas!$B$10*(1+Premissas!$B$11),0)</f>
        <v/>
      </c>
    </row>
    <row r="26">
      <c r="A26" t="inlineStr">
        <is>
          <t>Aquisição de alunos (custo dos canais)</t>
        </is>
      </c>
      <c r="B26" s="29">
        <f>'Canais de aquisição'!C$10</f>
        <v/>
      </c>
      <c r="C26" s="29">
        <f>'Canais de aquisição'!D$10</f>
        <v/>
      </c>
      <c r="D26" s="29">
        <f>'Canais de aquisição'!E$10</f>
        <v/>
      </c>
      <c r="E26" s="29">
        <f>'Canais de aquisição'!F$10</f>
        <v/>
      </c>
      <c r="F26" s="29">
        <f>'Canais de aquisição'!G$10</f>
        <v/>
      </c>
      <c r="G26" s="29">
        <f>'Canais de aquisição'!H$10</f>
        <v/>
      </c>
      <c r="H26" s="29">
        <f>'Canais de aquisição'!I$10</f>
        <v/>
      </c>
      <c r="I26" s="29">
        <f>'Canais de aquisição'!J$10</f>
        <v/>
      </c>
      <c r="J26" s="29">
        <f>'Canais de aquisição'!K$10</f>
        <v/>
      </c>
      <c r="K26" s="29">
        <f>'Canais de aquisição'!L$10</f>
        <v/>
      </c>
      <c r="L26" s="29">
        <f>'Canais de aquisição'!M$10</f>
        <v/>
      </c>
      <c r="M26" s="29">
        <f>'Canais de aquisição'!N$10</f>
        <v/>
      </c>
      <c r="N26" s="29">
        <f>'Canais de aquisição'!O$10</f>
        <v/>
      </c>
      <c r="O26" s="29">
        <f>'Canais de aquisição'!P$10</f>
        <v/>
      </c>
      <c r="P26" s="29">
        <f>'Canais de aquisição'!Q$10</f>
        <v/>
      </c>
      <c r="Q26" s="29">
        <f>'Canais de aquisição'!R$10</f>
        <v/>
      </c>
      <c r="R26" s="29">
        <f>'Canais de aquisição'!S$10</f>
        <v/>
      </c>
      <c r="S26" s="29">
        <f>'Canais de aquisição'!T$10</f>
        <v/>
      </c>
    </row>
    <row r="27">
      <c r="A27" t="inlineStr">
        <is>
          <t>Folha + encargos mensais (só quem já entrou)</t>
        </is>
      </c>
      <c r="B27" s="29">
        <f>SUMPRODUCT((Premissas!$D$14:$D$20&lt;=B2)*Premissas!$B$14:$B$20*(1+Premissas!$C$14:$C$20*Premissas!$B$11))</f>
        <v/>
      </c>
      <c r="C27" s="29">
        <f>SUMPRODUCT((Premissas!$D$14:$D$20&lt;=C2)*Premissas!$B$14:$B$20*(1+Premissas!$C$14:$C$20*Premissas!$B$11))</f>
        <v/>
      </c>
      <c r="D27" s="29">
        <f>SUMPRODUCT((Premissas!$D$14:$D$20&lt;=D2)*Premissas!$B$14:$B$20*(1+Premissas!$C$14:$C$20*Premissas!$B$11))</f>
        <v/>
      </c>
      <c r="E27" s="29">
        <f>SUMPRODUCT((Premissas!$D$14:$D$20&lt;=E2)*Premissas!$B$14:$B$20*(1+Premissas!$C$14:$C$20*Premissas!$B$11))</f>
        <v/>
      </c>
      <c r="F27" s="29">
        <f>SUMPRODUCT((Premissas!$D$14:$D$20&lt;=F2)*Premissas!$B$14:$B$20*(1+Premissas!$C$14:$C$20*Premissas!$B$11))</f>
        <v/>
      </c>
      <c r="G27" s="29">
        <f>SUMPRODUCT((Premissas!$D$14:$D$20&lt;=G2)*Premissas!$B$14:$B$20*(1+Premissas!$C$14:$C$20*Premissas!$B$11))</f>
        <v/>
      </c>
      <c r="H27" s="29">
        <f>SUMPRODUCT((Premissas!$D$14:$D$20&lt;=H2)*Premissas!$B$14:$B$20*(1+Premissas!$C$14:$C$20*Premissas!$B$11))</f>
        <v/>
      </c>
      <c r="I27" s="29">
        <f>SUMPRODUCT((Premissas!$D$14:$D$20&lt;=I2)*Premissas!$B$14:$B$20*(1+Premissas!$C$14:$C$20*Premissas!$B$11))</f>
        <v/>
      </c>
      <c r="J27" s="29">
        <f>SUMPRODUCT((Premissas!$D$14:$D$20&lt;=J2)*Premissas!$B$14:$B$20*(1+Premissas!$C$14:$C$20*Premissas!$B$11))</f>
        <v/>
      </c>
      <c r="K27" s="29">
        <f>SUMPRODUCT((Premissas!$D$14:$D$20&lt;=K2)*Premissas!$B$14:$B$20*(1+Premissas!$C$14:$C$20*Premissas!$B$11))</f>
        <v/>
      </c>
      <c r="L27" s="29">
        <f>SUMPRODUCT((Premissas!$D$14:$D$20&lt;=L2)*Premissas!$B$14:$B$20*(1+Premissas!$C$14:$C$20*Premissas!$B$11))</f>
        <v/>
      </c>
      <c r="M27" s="29">
        <f>SUMPRODUCT((Premissas!$D$14:$D$20&lt;=M2)*Premissas!$B$14:$B$20*(1+Premissas!$C$14:$C$20*Premissas!$B$11))</f>
        <v/>
      </c>
      <c r="N27" s="29">
        <f>SUMPRODUCT((Premissas!$D$14:$D$20&lt;=N2)*Premissas!$B$14:$B$20*(1+Premissas!$C$14:$C$20*Premissas!$B$11))</f>
        <v/>
      </c>
      <c r="O27" s="29">
        <f>SUMPRODUCT((Premissas!$D$14:$D$20&lt;=O2)*Premissas!$B$14:$B$20*(1+Premissas!$C$14:$C$20*Premissas!$B$11))</f>
        <v/>
      </c>
      <c r="P27" s="29">
        <f>SUMPRODUCT((Premissas!$D$14:$D$20&lt;=P2)*Premissas!$B$14:$B$20*(1+Premissas!$C$14:$C$20*Premissas!$B$11))</f>
        <v/>
      </c>
      <c r="Q27" s="29">
        <f>SUMPRODUCT((Premissas!$D$14:$D$20&lt;=Q2)*Premissas!$B$14:$B$20*(1+Premissas!$C$14:$C$20*Premissas!$B$11))</f>
        <v/>
      </c>
      <c r="R27" s="29">
        <f>SUMPRODUCT((Premissas!$D$14:$D$20&lt;=R2)*Premissas!$B$14:$B$20*(1+Premissas!$C$14:$C$20*Premissas!$B$11))</f>
        <v/>
      </c>
      <c r="S27" s="29">
        <f>SUMPRODUCT((Premissas!$D$14:$D$20&lt;=S2)*Premissas!$B$14:$B$20*(1+Premissas!$C$14:$C$20*Premissas!$B$11))</f>
        <v/>
      </c>
    </row>
    <row r="28">
      <c r="A28" t="inlineStr">
        <is>
          <t>Vale-transporte / benefícios</t>
        </is>
      </c>
      <c r="B28" s="29">
        <f>SUMPRODUCT((Premissas!$D$14:$D$20&lt;=B2)*Premissas!$C$14:$C$20*(Premissas!$B$14:$B$20&gt;0))*Premissas!$B$12</f>
        <v/>
      </c>
      <c r="C28" s="29">
        <f>SUMPRODUCT((Premissas!$D$14:$D$20&lt;=C2)*Premissas!$C$14:$C$20*(Premissas!$B$14:$B$20&gt;0))*Premissas!$B$12</f>
        <v/>
      </c>
      <c r="D28" s="29">
        <f>SUMPRODUCT((Premissas!$D$14:$D$20&lt;=D2)*Premissas!$C$14:$C$20*(Premissas!$B$14:$B$20&gt;0))*Premissas!$B$12</f>
        <v/>
      </c>
      <c r="E28" s="29">
        <f>SUMPRODUCT((Premissas!$D$14:$D$20&lt;=E2)*Premissas!$C$14:$C$20*(Premissas!$B$14:$B$20&gt;0))*Premissas!$B$12</f>
        <v/>
      </c>
      <c r="F28" s="29">
        <f>SUMPRODUCT((Premissas!$D$14:$D$20&lt;=F2)*Premissas!$C$14:$C$20*(Premissas!$B$14:$B$20&gt;0))*Premissas!$B$12</f>
        <v/>
      </c>
      <c r="G28" s="29">
        <f>SUMPRODUCT((Premissas!$D$14:$D$20&lt;=G2)*Premissas!$C$14:$C$20*(Premissas!$B$14:$B$20&gt;0))*Premissas!$B$12</f>
        <v/>
      </c>
      <c r="H28" s="29">
        <f>SUMPRODUCT((Premissas!$D$14:$D$20&lt;=H2)*Premissas!$C$14:$C$20*(Premissas!$B$14:$B$20&gt;0))*Premissas!$B$12</f>
        <v/>
      </c>
      <c r="I28" s="29">
        <f>SUMPRODUCT((Premissas!$D$14:$D$20&lt;=I2)*Premissas!$C$14:$C$20*(Premissas!$B$14:$B$20&gt;0))*Premissas!$B$12</f>
        <v/>
      </c>
      <c r="J28" s="29">
        <f>SUMPRODUCT((Premissas!$D$14:$D$20&lt;=J2)*Premissas!$C$14:$C$20*(Premissas!$B$14:$B$20&gt;0))*Premissas!$B$12</f>
        <v/>
      </c>
      <c r="K28" s="29">
        <f>SUMPRODUCT((Premissas!$D$14:$D$20&lt;=K2)*Premissas!$C$14:$C$20*(Premissas!$B$14:$B$20&gt;0))*Premissas!$B$12</f>
        <v/>
      </c>
      <c r="L28" s="29">
        <f>SUMPRODUCT((Premissas!$D$14:$D$20&lt;=L2)*Premissas!$C$14:$C$20*(Premissas!$B$14:$B$20&gt;0))*Premissas!$B$12</f>
        <v/>
      </c>
      <c r="M28" s="29">
        <f>SUMPRODUCT((Premissas!$D$14:$D$20&lt;=M2)*Premissas!$C$14:$C$20*(Premissas!$B$14:$B$20&gt;0))*Premissas!$B$12</f>
        <v/>
      </c>
      <c r="N28" s="29">
        <f>SUMPRODUCT((Premissas!$D$14:$D$20&lt;=N2)*Premissas!$C$14:$C$20*(Premissas!$B$14:$B$20&gt;0))*Premissas!$B$12</f>
        <v/>
      </c>
      <c r="O28" s="29">
        <f>SUMPRODUCT((Premissas!$D$14:$D$20&lt;=O2)*Premissas!$C$14:$C$20*(Premissas!$B$14:$B$20&gt;0))*Premissas!$B$12</f>
        <v/>
      </c>
      <c r="P28" s="29">
        <f>SUMPRODUCT((Premissas!$D$14:$D$20&lt;=P2)*Premissas!$C$14:$C$20*(Premissas!$B$14:$B$20&gt;0))*Premissas!$B$12</f>
        <v/>
      </c>
      <c r="Q28" s="29">
        <f>SUMPRODUCT((Premissas!$D$14:$D$20&lt;=Q2)*Premissas!$C$14:$C$20*(Premissas!$B$14:$B$20&gt;0))*Premissas!$B$12</f>
        <v/>
      </c>
      <c r="R28" s="29">
        <f>SUMPRODUCT((Premissas!$D$14:$D$20&lt;=R2)*Premissas!$C$14:$C$20*(Premissas!$B$14:$B$20&gt;0))*Premissas!$B$12</f>
        <v/>
      </c>
      <c r="S28" s="29">
        <f>SUMPRODUCT((Premissas!$D$14:$D$20&lt;=S2)*Premissas!$C$14:$C$20*(Premissas!$B$14:$B$20&gt;0))*Premissas!$B$12</f>
        <v/>
      </c>
    </row>
    <row r="29">
      <c r="A29" t="inlineStr">
        <is>
          <t>13º e férias (desembolso)</t>
        </is>
      </c>
      <c r="B29" s="29" t="n">
        <v>0</v>
      </c>
      <c r="C29" s="29" t="n">
        <v>0</v>
      </c>
      <c r="D29" s="29">
        <f>Premissas!$B$41*SUMPRODUCT((Premissas!$D$14:$D$20&lt;=2)*Premissas!$C$14:$C$20*Premissas!$B$14:$B$20*(2-((Premissas!$D$14:$D$20&gt;0)*Premissas!$D$14:$D$20+(Premissas!$D$14:$D$20&lt;=0)*0)+1)/12)+0</f>
        <v/>
      </c>
      <c r="E29" s="29" t="n">
        <v>0</v>
      </c>
      <c r="F29" s="29" t="n">
        <v>0</v>
      </c>
      <c r="G29" s="29" t="n">
        <v>0</v>
      </c>
      <c r="H29" s="29" t="n">
        <v>0</v>
      </c>
      <c r="I29" s="29" t="n">
        <v>0</v>
      </c>
      <c r="J29" s="29" t="n">
        <v>0</v>
      </c>
      <c r="K29" s="29" t="n">
        <v>0</v>
      </c>
      <c r="L29" s="29" t="n">
        <v>0</v>
      </c>
      <c r="M29" s="29" t="n">
        <v>0</v>
      </c>
      <c r="N29" s="29">
        <f>0+Premissas!$B$42*SUMPRODUCT((Premissas!$D$14:$D$20=0)*Premissas!$C$14:$C$20*Premissas!$B$14:$B$20)*4/3</f>
        <v/>
      </c>
      <c r="O29" s="29">
        <f>0+Premissas!$B$42*SUMPRODUCT((Premissas!$D$14:$D$20=1)*Premissas!$C$14:$C$20*Premissas!$B$14:$B$20)*4/3</f>
        <v/>
      </c>
      <c r="P29" s="29">
        <f>Premissas!$B$41*SUMPRODUCT((Premissas!$D$14:$D$20&lt;=14)*Premissas!$C$14:$C$20*Premissas!$B$14:$B$20*(14-((Premissas!$D$14:$D$20&gt;3)*Premissas!$D$14:$D$20+(Premissas!$D$14:$D$20&lt;=3)*3)+1)/12)+Premissas!$B$42*SUMPRODUCT((Premissas!$D$14:$D$20=2)*Premissas!$C$14:$C$20*Premissas!$B$14:$B$20)*4/3</f>
        <v/>
      </c>
      <c r="Q29" s="29">
        <f>0+Premissas!$B$42*SUMPRODUCT((Premissas!$D$14:$D$20=3)*Premissas!$C$14:$C$20*Premissas!$B$14:$B$20)*4/3</f>
        <v/>
      </c>
      <c r="R29" s="29">
        <f>0+Premissas!$B$42*SUMPRODUCT((Premissas!$D$14:$D$20=4)*Premissas!$C$14:$C$20*Premissas!$B$14:$B$20)*4/3</f>
        <v/>
      </c>
      <c r="S29" s="29">
        <f>0+Premissas!$B$42*SUMPRODUCT((Premissas!$D$14:$D$20=5)*Premissas!$C$14:$C$20*Premissas!$B$14:$B$20)*4/3</f>
        <v/>
      </c>
    </row>
    <row r="30">
      <c r="A30" t="inlineStr">
        <is>
          <t>Professores (salário + encargos)</t>
        </is>
      </c>
      <c r="B30" s="29" t="n">
        <v>0</v>
      </c>
      <c r="C30" s="29" t="n">
        <v>0</v>
      </c>
      <c r="D30" s="29">
        <f>D8*Premissas!$B$35</f>
        <v/>
      </c>
      <c r="E30" s="29">
        <f>E8*Premissas!$B$35</f>
        <v/>
      </c>
      <c r="F30" s="29">
        <f>F8*Premissas!$B$35</f>
        <v/>
      </c>
      <c r="G30" s="29">
        <f>G8*Premissas!$B$35</f>
        <v/>
      </c>
      <c r="H30" s="29">
        <f>H8*Premissas!$B$35</f>
        <v/>
      </c>
      <c r="I30" s="29">
        <f>I8*Premissas!$B$35</f>
        <v/>
      </c>
      <c r="J30" s="29">
        <f>J8*Premissas!$B$35</f>
        <v/>
      </c>
      <c r="K30" s="29">
        <f>K8*Premissas!$B$35</f>
        <v/>
      </c>
      <c r="L30" s="29">
        <f>L8*Premissas!$B$35</f>
        <v/>
      </c>
      <c r="M30" s="29">
        <f>M8*Premissas!$B$35</f>
        <v/>
      </c>
      <c r="N30" s="29">
        <f>N8*Premissas!$B$35</f>
        <v/>
      </c>
      <c r="O30" s="29">
        <f>O8*Premissas!$B$35</f>
        <v/>
      </c>
      <c r="P30" s="29">
        <f>P8*Premissas!$B$35</f>
        <v/>
      </c>
      <c r="Q30" s="29">
        <f>Q8*Premissas!$B$35</f>
        <v/>
      </c>
      <c r="R30" s="29">
        <f>R8*Premissas!$B$35</f>
        <v/>
      </c>
      <c r="S30" s="29">
        <f>S8*Premissas!$B$35</f>
        <v/>
      </c>
    </row>
    <row r="31">
      <c r="A31" t="inlineStr">
        <is>
          <t>Aluguel do espaço</t>
        </is>
      </c>
      <c r="B31" s="29">
        <f>'Custos mês a mês'!B2</f>
        <v/>
      </c>
      <c r="C31" s="29">
        <f>'Custos mês a mês'!C2</f>
        <v/>
      </c>
      <c r="D31" s="29">
        <f>'Custos mês a mês'!D2</f>
        <v/>
      </c>
      <c r="E31" s="29">
        <f>'Custos mês a mês'!E2</f>
        <v/>
      </c>
      <c r="F31" s="29">
        <f>'Custos mês a mês'!F2</f>
        <v/>
      </c>
      <c r="G31" s="29">
        <f>'Custos mês a mês'!G2</f>
        <v/>
      </c>
      <c r="H31" s="29">
        <f>'Custos mês a mês'!H2</f>
        <v/>
      </c>
      <c r="I31" s="29">
        <f>'Custos mês a mês'!I2</f>
        <v/>
      </c>
      <c r="J31" s="29">
        <f>'Custos mês a mês'!J2</f>
        <v/>
      </c>
      <c r="K31" s="29">
        <f>'Custos mês a mês'!K2</f>
        <v/>
      </c>
      <c r="L31" s="29">
        <f>'Custos mês a mês'!L2</f>
        <v/>
      </c>
      <c r="M31" s="29">
        <f>'Custos mês a mês'!M2</f>
        <v/>
      </c>
      <c r="N31" s="29">
        <f>'Custos mês a mês'!N2</f>
        <v/>
      </c>
      <c r="O31" s="29">
        <f>'Custos mês a mês'!O2</f>
        <v/>
      </c>
      <c r="P31" s="29">
        <f>'Custos mês a mês'!P2</f>
        <v/>
      </c>
      <c r="Q31" s="29">
        <f>'Custos mês a mês'!Q2</f>
        <v/>
      </c>
      <c r="R31" s="29">
        <f>'Custos mês a mês'!R2</f>
        <v/>
      </c>
      <c r="S31" s="29">
        <f>'Custos mês a mês'!S2</f>
        <v/>
      </c>
    </row>
    <row r="32">
      <c r="A32" t="inlineStr">
        <is>
          <t>Água</t>
        </is>
      </c>
      <c r="B32" s="29">
        <f>'Custos mês a mês'!B3</f>
        <v/>
      </c>
      <c r="C32" s="29">
        <f>'Custos mês a mês'!C3</f>
        <v/>
      </c>
      <c r="D32" s="29">
        <f>'Custos mês a mês'!D3</f>
        <v/>
      </c>
      <c r="E32" s="29">
        <f>'Custos mês a mês'!E3</f>
        <v/>
      </c>
      <c r="F32" s="29">
        <f>'Custos mês a mês'!F3</f>
        <v/>
      </c>
      <c r="G32" s="29">
        <f>'Custos mês a mês'!G3</f>
        <v/>
      </c>
      <c r="H32" s="29">
        <f>'Custos mês a mês'!H3</f>
        <v/>
      </c>
      <c r="I32" s="29">
        <f>'Custos mês a mês'!I3</f>
        <v/>
      </c>
      <c r="J32" s="29">
        <f>'Custos mês a mês'!J3</f>
        <v/>
      </c>
      <c r="K32" s="29">
        <f>'Custos mês a mês'!K3</f>
        <v/>
      </c>
      <c r="L32" s="29">
        <f>'Custos mês a mês'!L3</f>
        <v/>
      </c>
      <c r="M32" s="29">
        <f>'Custos mês a mês'!M3</f>
        <v/>
      </c>
      <c r="N32" s="29">
        <f>'Custos mês a mês'!N3</f>
        <v/>
      </c>
      <c r="O32" s="29">
        <f>'Custos mês a mês'!O3</f>
        <v/>
      </c>
      <c r="P32" s="29">
        <f>'Custos mês a mês'!P3</f>
        <v/>
      </c>
      <c r="Q32" s="29">
        <f>'Custos mês a mês'!Q3</f>
        <v/>
      </c>
      <c r="R32" s="29">
        <f>'Custos mês a mês'!R3</f>
        <v/>
      </c>
      <c r="S32" s="29">
        <f>'Custos mês a mês'!S3</f>
        <v/>
      </c>
    </row>
    <row r="33">
      <c r="A33" t="inlineStr">
        <is>
          <t>Luz</t>
        </is>
      </c>
      <c r="B33" s="29">
        <f>'Custos mês a mês'!B4</f>
        <v/>
      </c>
      <c r="C33" s="29">
        <f>'Custos mês a mês'!C4</f>
        <v/>
      </c>
      <c r="D33" s="29">
        <f>'Custos mês a mês'!D4</f>
        <v/>
      </c>
      <c r="E33" s="29">
        <f>'Custos mês a mês'!E4</f>
        <v/>
      </c>
      <c r="F33" s="29">
        <f>'Custos mês a mês'!F4</f>
        <v/>
      </c>
      <c r="G33" s="29">
        <f>'Custos mês a mês'!G4</f>
        <v/>
      </c>
      <c r="H33" s="29">
        <f>'Custos mês a mês'!H4</f>
        <v/>
      </c>
      <c r="I33" s="29">
        <f>'Custos mês a mês'!I4</f>
        <v/>
      </c>
      <c r="J33" s="29">
        <f>'Custos mês a mês'!J4</f>
        <v/>
      </c>
      <c r="K33" s="29">
        <f>'Custos mês a mês'!K4</f>
        <v/>
      </c>
      <c r="L33" s="29">
        <f>'Custos mês a mês'!L4</f>
        <v/>
      </c>
      <c r="M33" s="29">
        <f>'Custos mês a mês'!M4</f>
        <v/>
      </c>
      <c r="N33" s="29">
        <f>'Custos mês a mês'!N4</f>
        <v/>
      </c>
      <c r="O33" s="29">
        <f>'Custos mês a mês'!O4</f>
        <v/>
      </c>
      <c r="P33" s="29">
        <f>'Custos mês a mês'!P4</f>
        <v/>
      </c>
      <c r="Q33" s="29">
        <f>'Custos mês a mês'!Q4</f>
        <v/>
      </c>
      <c r="R33" s="29">
        <f>'Custos mês a mês'!R4</f>
        <v/>
      </c>
      <c r="S33" s="29">
        <f>'Custos mês a mês'!S4</f>
        <v/>
      </c>
    </row>
    <row r="34">
      <c r="A34" t="inlineStr">
        <is>
          <t>Telefone</t>
        </is>
      </c>
      <c r="B34" s="29">
        <f>'Custos mês a mês'!B5</f>
        <v/>
      </c>
      <c r="C34" s="29">
        <f>'Custos mês a mês'!C5</f>
        <v/>
      </c>
      <c r="D34" s="29">
        <f>'Custos mês a mês'!D5</f>
        <v/>
      </c>
      <c r="E34" s="29">
        <f>'Custos mês a mês'!E5</f>
        <v/>
      </c>
      <c r="F34" s="29">
        <f>'Custos mês a mês'!F5</f>
        <v/>
      </c>
      <c r="G34" s="29">
        <f>'Custos mês a mês'!G5</f>
        <v/>
      </c>
      <c r="H34" s="29">
        <f>'Custos mês a mês'!H5</f>
        <v/>
      </c>
      <c r="I34" s="29">
        <f>'Custos mês a mês'!I5</f>
        <v/>
      </c>
      <c r="J34" s="29">
        <f>'Custos mês a mês'!J5</f>
        <v/>
      </c>
      <c r="K34" s="29">
        <f>'Custos mês a mês'!K5</f>
        <v/>
      </c>
      <c r="L34" s="29">
        <f>'Custos mês a mês'!L5</f>
        <v/>
      </c>
      <c r="M34" s="29">
        <f>'Custos mês a mês'!M5</f>
        <v/>
      </c>
      <c r="N34" s="29">
        <f>'Custos mês a mês'!N5</f>
        <v/>
      </c>
      <c r="O34" s="29">
        <f>'Custos mês a mês'!O5</f>
        <v/>
      </c>
      <c r="P34" s="29">
        <f>'Custos mês a mês'!P5</f>
        <v/>
      </c>
      <c r="Q34" s="29">
        <f>'Custos mês a mês'!Q5</f>
        <v/>
      </c>
      <c r="R34" s="29">
        <f>'Custos mês a mês'!R5</f>
        <v/>
      </c>
      <c r="S34" s="29">
        <f>'Custos mês a mês'!S5</f>
        <v/>
      </c>
    </row>
    <row r="35">
      <c r="A35" t="inlineStr">
        <is>
          <t>Internet</t>
        </is>
      </c>
      <c r="B35" s="29">
        <f>'Custos mês a mês'!B6</f>
        <v/>
      </c>
      <c r="C35" s="29">
        <f>'Custos mês a mês'!C6</f>
        <v/>
      </c>
      <c r="D35" s="29">
        <f>'Custos mês a mês'!D6</f>
        <v/>
      </c>
      <c r="E35" s="29">
        <f>'Custos mês a mês'!E6</f>
        <v/>
      </c>
      <c r="F35" s="29">
        <f>'Custos mês a mês'!F6</f>
        <v/>
      </c>
      <c r="G35" s="29">
        <f>'Custos mês a mês'!G6</f>
        <v/>
      </c>
      <c r="H35" s="29">
        <f>'Custos mês a mês'!H6</f>
        <v/>
      </c>
      <c r="I35" s="29">
        <f>'Custos mês a mês'!I6</f>
        <v/>
      </c>
      <c r="J35" s="29">
        <f>'Custos mês a mês'!J6</f>
        <v/>
      </c>
      <c r="K35" s="29">
        <f>'Custos mês a mês'!K6</f>
        <v/>
      </c>
      <c r="L35" s="29">
        <f>'Custos mês a mês'!L6</f>
        <v/>
      </c>
      <c r="M35" s="29">
        <f>'Custos mês a mês'!M6</f>
        <v/>
      </c>
      <c r="N35" s="29">
        <f>'Custos mês a mês'!N6</f>
        <v/>
      </c>
      <c r="O35" s="29">
        <f>'Custos mês a mês'!O6</f>
        <v/>
      </c>
      <c r="P35" s="29">
        <f>'Custos mês a mês'!P6</f>
        <v/>
      </c>
      <c r="Q35" s="29">
        <f>'Custos mês a mês'!Q6</f>
        <v/>
      </c>
      <c r="R35" s="29">
        <f>'Custos mês a mês'!R6</f>
        <v/>
      </c>
      <c r="S35" s="29">
        <f>'Custos mês a mês'!S6</f>
        <v/>
      </c>
    </row>
    <row r="36">
      <c r="A36" t="inlineStr">
        <is>
          <t>Sistema de gestão DiscoverON</t>
        </is>
      </c>
      <c r="B36" s="29">
        <f>'Custos mês a mês'!B7</f>
        <v/>
      </c>
      <c r="C36" s="29">
        <f>'Custos mês a mês'!C7</f>
        <v/>
      </c>
      <c r="D36" s="29">
        <f>'Custos mês a mês'!D7</f>
        <v/>
      </c>
      <c r="E36" s="29">
        <f>'Custos mês a mês'!E7</f>
        <v/>
      </c>
      <c r="F36" s="29">
        <f>'Custos mês a mês'!F7</f>
        <v/>
      </c>
      <c r="G36" s="29">
        <f>'Custos mês a mês'!G7</f>
        <v/>
      </c>
      <c r="H36" s="29">
        <f>'Custos mês a mês'!H7</f>
        <v/>
      </c>
      <c r="I36" s="29">
        <f>'Custos mês a mês'!I7</f>
        <v/>
      </c>
      <c r="J36" s="29">
        <f>'Custos mês a mês'!J7</f>
        <v/>
      </c>
      <c r="K36" s="29">
        <f>'Custos mês a mês'!K7</f>
        <v/>
      </c>
      <c r="L36" s="29">
        <f>'Custos mês a mês'!L7</f>
        <v/>
      </c>
      <c r="M36" s="29">
        <f>'Custos mês a mês'!M7</f>
        <v/>
      </c>
      <c r="N36" s="29">
        <f>'Custos mês a mês'!N7</f>
        <v/>
      </c>
      <c r="O36" s="29">
        <f>'Custos mês a mês'!O7</f>
        <v/>
      </c>
      <c r="P36" s="29">
        <f>'Custos mês a mês'!P7</f>
        <v/>
      </c>
      <c r="Q36" s="29">
        <f>'Custos mês a mês'!Q7</f>
        <v/>
      </c>
      <c r="R36" s="29">
        <f>'Custos mês a mês'!R7</f>
        <v/>
      </c>
      <c r="S36" s="29">
        <f>'Custos mês a mês'!S7</f>
        <v/>
      </c>
    </row>
    <row r="37">
      <c r="A37" t="inlineStr">
        <is>
          <t>Itens para aula</t>
        </is>
      </c>
      <c r="B37" s="29">
        <f>'Custos mês a mês'!B8</f>
        <v/>
      </c>
      <c r="C37" s="29">
        <f>'Custos mês a mês'!C8</f>
        <v/>
      </c>
      <c r="D37" s="29">
        <f>'Custos mês a mês'!D8</f>
        <v/>
      </c>
      <c r="E37" s="29">
        <f>'Custos mês a mês'!E8</f>
        <v/>
      </c>
      <c r="F37" s="29">
        <f>'Custos mês a mês'!F8</f>
        <v/>
      </c>
      <c r="G37" s="29">
        <f>'Custos mês a mês'!G8</f>
        <v/>
      </c>
      <c r="H37" s="29">
        <f>'Custos mês a mês'!H8</f>
        <v/>
      </c>
      <c r="I37" s="29">
        <f>'Custos mês a mês'!I8</f>
        <v/>
      </c>
      <c r="J37" s="29">
        <f>'Custos mês a mês'!J8</f>
        <v/>
      </c>
      <c r="K37" s="29">
        <f>'Custos mês a mês'!K8</f>
        <v/>
      </c>
      <c r="L37" s="29">
        <f>'Custos mês a mês'!L8</f>
        <v/>
      </c>
      <c r="M37" s="29">
        <f>'Custos mês a mês'!M8</f>
        <v/>
      </c>
      <c r="N37" s="29">
        <f>'Custos mês a mês'!N8</f>
        <v/>
      </c>
      <c r="O37" s="29">
        <f>'Custos mês a mês'!O8</f>
        <v/>
      </c>
      <c r="P37" s="29">
        <f>'Custos mês a mês'!P8</f>
        <v/>
      </c>
      <c r="Q37" s="29">
        <f>'Custos mês a mês'!Q8</f>
        <v/>
      </c>
      <c r="R37" s="29">
        <f>'Custos mês a mês'!R8</f>
        <v/>
      </c>
      <c r="S37" s="29">
        <f>'Custos mês a mês'!S8</f>
        <v/>
      </c>
    </row>
    <row r="38">
      <c r="A38" t="inlineStr">
        <is>
          <t>Materiais de limpeza + higiene</t>
        </is>
      </c>
      <c r="B38" s="29">
        <f>'Custos mês a mês'!B9</f>
        <v/>
      </c>
      <c r="C38" s="29">
        <f>'Custos mês a mês'!C9</f>
        <v/>
      </c>
      <c r="D38" s="29">
        <f>'Custos mês a mês'!D9</f>
        <v/>
      </c>
      <c r="E38" s="29">
        <f>'Custos mês a mês'!E9</f>
        <v/>
      </c>
      <c r="F38" s="29">
        <f>'Custos mês a mês'!F9</f>
        <v/>
      </c>
      <c r="G38" s="29">
        <f>'Custos mês a mês'!G9</f>
        <v/>
      </c>
      <c r="H38" s="29">
        <f>'Custos mês a mês'!H9</f>
        <v/>
      </c>
      <c r="I38" s="29">
        <f>'Custos mês a mês'!I9</f>
        <v/>
      </c>
      <c r="J38" s="29">
        <f>'Custos mês a mês'!J9</f>
        <v/>
      </c>
      <c r="K38" s="29">
        <f>'Custos mês a mês'!K9</f>
        <v/>
      </c>
      <c r="L38" s="29">
        <f>'Custos mês a mês'!L9</f>
        <v/>
      </c>
      <c r="M38" s="29">
        <f>'Custos mês a mês'!M9</f>
        <v/>
      </c>
      <c r="N38" s="29">
        <f>'Custos mês a mês'!N9</f>
        <v/>
      </c>
      <c r="O38" s="29">
        <f>'Custos mês a mês'!O9</f>
        <v/>
      </c>
      <c r="P38" s="29">
        <f>'Custos mês a mês'!P9</f>
        <v/>
      </c>
      <c r="Q38" s="29">
        <f>'Custos mês a mês'!Q9</f>
        <v/>
      </c>
      <c r="R38" s="29">
        <f>'Custos mês a mês'!R9</f>
        <v/>
      </c>
      <c r="S38" s="29">
        <f>'Custos mês a mês'!S9</f>
        <v/>
      </c>
    </row>
    <row r="39">
      <c r="A39" t="inlineStr">
        <is>
          <t>Brindes</t>
        </is>
      </c>
      <c r="B39" s="29">
        <f>'Custos mês a mês'!B10</f>
        <v/>
      </c>
      <c r="C39" s="29">
        <f>'Custos mês a mês'!C10</f>
        <v/>
      </c>
      <c r="D39" s="29">
        <f>'Custos mês a mês'!D10</f>
        <v/>
      </c>
      <c r="E39" s="29">
        <f>'Custos mês a mês'!E10</f>
        <v/>
      </c>
      <c r="F39" s="29">
        <f>'Custos mês a mês'!F10</f>
        <v/>
      </c>
      <c r="G39" s="29">
        <f>'Custos mês a mês'!G10</f>
        <v/>
      </c>
      <c r="H39" s="29">
        <f>'Custos mês a mês'!H10</f>
        <v/>
      </c>
      <c r="I39" s="29">
        <f>'Custos mês a mês'!I10</f>
        <v/>
      </c>
      <c r="J39" s="29">
        <f>'Custos mês a mês'!J10</f>
        <v/>
      </c>
      <c r="K39" s="29">
        <f>'Custos mês a mês'!K10</f>
        <v/>
      </c>
      <c r="L39" s="29">
        <f>'Custos mês a mês'!L10</f>
        <v/>
      </c>
      <c r="M39" s="29">
        <f>'Custos mês a mês'!M10</f>
        <v/>
      </c>
      <c r="N39" s="29">
        <f>'Custos mês a mês'!N10</f>
        <v/>
      </c>
      <c r="O39" s="29">
        <f>'Custos mês a mês'!O10</f>
        <v/>
      </c>
      <c r="P39" s="29">
        <f>'Custos mês a mês'!P10</f>
        <v/>
      </c>
      <c r="Q39" s="29">
        <f>'Custos mês a mês'!Q10</f>
        <v/>
      </c>
      <c r="R39" s="29">
        <f>'Custos mês a mês'!R10</f>
        <v/>
      </c>
      <c r="S39" s="29">
        <f>'Custos mês a mês'!S10</f>
        <v/>
      </c>
    </row>
    <row r="40">
      <c r="A40" t="inlineStr">
        <is>
          <t>Marketing</t>
        </is>
      </c>
      <c r="B40" s="29">
        <f>'Custos mês a mês'!B11</f>
        <v/>
      </c>
      <c r="C40" s="29">
        <f>'Custos mês a mês'!C11</f>
        <v/>
      </c>
      <c r="D40" s="29">
        <f>'Custos mês a mês'!D11</f>
        <v/>
      </c>
      <c r="E40" s="29">
        <f>'Custos mês a mês'!E11</f>
        <v/>
      </c>
      <c r="F40" s="29">
        <f>'Custos mês a mês'!F11</f>
        <v/>
      </c>
      <c r="G40" s="29">
        <f>'Custos mês a mês'!G11</f>
        <v/>
      </c>
      <c r="H40" s="29">
        <f>'Custos mês a mês'!H11</f>
        <v/>
      </c>
      <c r="I40" s="29">
        <f>'Custos mês a mês'!I11</f>
        <v/>
      </c>
      <c r="J40" s="29">
        <f>'Custos mês a mês'!J11</f>
        <v/>
      </c>
      <c r="K40" s="29">
        <f>'Custos mês a mês'!K11</f>
        <v/>
      </c>
      <c r="L40" s="29">
        <f>'Custos mês a mês'!L11</f>
        <v/>
      </c>
      <c r="M40" s="29">
        <f>'Custos mês a mês'!M11</f>
        <v/>
      </c>
      <c r="N40" s="29">
        <f>'Custos mês a mês'!N11</f>
        <v/>
      </c>
      <c r="O40" s="29">
        <f>'Custos mês a mês'!O11</f>
        <v/>
      </c>
      <c r="P40" s="29">
        <f>'Custos mês a mês'!P11</f>
        <v/>
      </c>
      <c r="Q40" s="29">
        <f>'Custos mês a mês'!Q11</f>
        <v/>
      </c>
      <c r="R40" s="29">
        <f>'Custos mês a mês'!R11</f>
        <v/>
      </c>
      <c r="S40" s="29">
        <f>'Custos mês a mês'!S11</f>
        <v/>
      </c>
    </row>
    <row r="41">
      <c r="A41" t="inlineStr">
        <is>
          <t>Aluguel dos computadores</t>
        </is>
      </c>
      <c r="B41" s="29">
        <f>'Custos mês a mês'!B12</f>
        <v/>
      </c>
      <c r="C41" s="29">
        <f>'Custos mês a mês'!C12</f>
        <v/>
      </c>
      <c r="D41" s="29">
        <f>'Custos mês a mês'!D12</f>
        <v/>
      </c>
      <c r="E41" s="29">
        <f>'Custos mês a mês'!E12</f>
        <v/>
      </c>
      <c r="F41" s="29">
        <f>'Custos mês a mês'!F12</f>
        <v/>
      </c>
      <c r="G41" s="29">
        <f>'Custos mês a mês'!G12</f>
        <v/>
      </c>
      <c r="H41" s="29">
        <f>'Custos mês a mês'!H12</f>
        <v/>
      </c>
      <c r="I41" s="29">
        <f>'Custos mês a mês'!I12</f>
        <v/>
      </c>
      <c r="J41" s="29">
        <f>'Custos mês a mês'!J12</f>
        <v/>
      </c>
      <c r="K41" s="29">
        <f>'Custos mês a mês'!K12</f>
        <v/>
      </c>
      <c r="L41" s="29">
        <f>'Custos mês a mês'!L12</f>
        <v/>
      </c>
      <c r="M41" s="29">
        <f>'Custos mês a mês'!M12</f>
        <v/>
      </c>
      <c r="N41" s="29">
        <f>'Custos mês a mês'!N12</f>
        <v/>
      </c>
      <c r="O41" s="29">
        <f>'Custos mês a mês'!O12</f>
        <v/>
      </c>
      <c r="P41" s="29">
        <f>'Custos mês a mês'!P12</f>
        <v/>
      </c>
      <c r="Q41" s="29">
        <f>'Custos mês a mês'!Q12</f>
        <v/>
      </c>
      <c r="R41" s="29">
        <f>'Custos mês a mês'!R12</f>
        <v/>
      </c>
      <c r="S41" s="29">
        <f>'Custos mês a mês'!S12</f>
        <v/>
      </c>
    </row>
    <row r="42">
      <c r="A42" t="inlineStr">
        <is>
          <t>Seguro empresarial</t>
        </is>
      </c>
      <c r="B42" s="29">
        <f>'Custos mês a mês'!B13</f>
        <v/>
      </c>
      <c r="C42" s="29">
        <f>'Custos mês a mês'!C13</f>
        <v/>
      </c>
      <c r="D42" s="29">
        <f>'Custos mês a mês'!D13</f>
        <v/>
      </c>
      <c r="E42" s="29">
        <f>'Custos mês a mês'!E13</f>
        <v/>
      </c>
      <c r="F42" s="29">
        <f>'Custos mês a mês'!F13</f>
        <v/>
      </c>
      <c r="G42" s="29">
        <f>'Custos mês a mês'!G13</f>
        <v/>
      </c>
      <c r="H42" s="29">
        <f>'Custos mês a mês'!H13</f>
        <v/>
      </c>
      <c r="I42" s="29">
        <f>'Custos mês a mês'!I13</f>
        <v/>
      </c>
      <c r="J42" s="29">
        <f>'Custos mês a mês'!J13</f>
        <v/>
      </c>
      <c r="K42" s="29">
        <f>'Custos mês a mês'!K13</f>
        <v/>
      </c>
      <c r="L42" s="29">
        <f>'Custos mês a mês'!L13</f>
        <v/>
      </c>
      <c r="M42" s="29">
        <f>'Custos mês a mês'!M13</f>
        <v/>
      </c>
      <c r="N42" s="29">
        <f>'Custos mês a mês'!N13</f>
        <v/>
      </c>
      <c r="O42" s="29">
        <f>'Custos mês a mês'!O13</f>
        <v/>
      </c>
      <c r="P42" s="29">
        <f>'Custos mês a mês'!P13</f>
        <v/>
      </c>
      <c r="Q42" s="29">
        <f>'Custos mês a mês'!Q13</f>
        <v/>
      </c>
      <c r="R42" s="29">
        <f>'Custos mês a mês'!R13</f>
        <v/>
      </c>
      <c r="S42" s="29">
        <f>'Custos mês a mês'!S13</f>
        <v/>
      </c>
    </row>
    <row r="43">
      <c r="A43" t="inlineStr">
        <is>
          <t>Taxas bancárias + gasolina</t>
        </is>
      </c>
      <c r="B43" s="29">
        <f>'Custos mês a mês'!B14</f>
        <v/>
      </c>
      <c r="C43" s="29">
        <f>'Custos mês a mês'!C14</f>
        <v/>
      </c>
      <c r="D43" s="29">
        <f>'Custos mês a mês'!D14</f>
        <v/>
      </c>
      <c r="E43" s="29">
        <f>'Custos mês a mês'!E14</f>
        <v/>
      </c>
      <c r="F43" s="29">
        <f>'Custos mês a mês'!F14</f>
        <v/>
      </c>
      <c r="G43" s="29">
        <f>'Custos mês a mês'!G14</f>
        <v/>
      </c>
      <c r="H43" s="29">
        <f>'Custos mês a mês'!H14</f>
        <v/>
      </c>
      <c r="I43" s="29">
        <f>'Custos mês a mês'!I14</f>
        <v/>
      </c>
      <c r="J43" s="29">
        <f>'Custos mês a mês'!J14</f>
        <v/>
      </c>
      <c r="K43" s="29">
        <f>'Custos mês a mês'!K14</f>
        <v/>
      </c>
      <c r="L43" s="29">
        <f>'Custos mês a mês'!L14</f>
        <v/>
      </c>
      <c r="M43" s="29">
        <f>'Custos mês a mês'!M14</f>
        <v/>
      </c>
      <c r="N43" s="29">
        <f>'Custos mês a mês'!N14</f>
        <v/>
      </c>
      <c r="O43" s="29">
        <f>'Custos mês a mês'!O14</f>
        <v/>
      </c>
      <c r="P43" s="29">
        <f>'Custos mês a mês'!P14</f>
        <v/>
      </c>
      <c r="Q43" s="29">
        <f>'Custos mês a mês'!Q14</f>
        <v/>
      </c>
      <c r="R43" s="29">
        <f>'Custos mês a mês'!R14</f>
        <v/>
      </c>
      <c r="S43" s="29">
        <f>'Custos mês a mês'!S14</f>
        <v/>
      </c>
    </row>
    <row r="44">
      <c r="A44" t="inlineStr">
        <is>
          <t>Custos operacionais (contab., manut., licenças…)</t>
        </is>
      </c>
      <c r="B44" s="29">
        <f>'Custos mês a mês'!B15</f>
        <v/>
      </c>
      <c r="C44" s="29">
        <f>'Custos mês a mês'!C15</f>
        <v/>
      </c>
      <c r="D44" s="29">
        <f>'Custos mês a mês'!D15</f>
        <v/>
      </c>
      <c r="E44" s="29">
        <f>'Custos mês a mês'!E15</f>
        <v/>
      </c>
      <c r="F44" s="29">
        <f>'Custos mês a mês'!F15</f>
        <v/>
      </c>
      <c r="G44" s="29">
        <f>'Custos mês a mês'!G15</f>
        <v/>
      </c>
      <c r="H44" s="29">
        <f>'Custos mês a mês'!H15</f>
        <v/>
      </c>
      <c r="I44" s="29">
        <f>'Custos mês a mês'!I15</f>
        <v/>
      </c>
      <c r="J44" s="29">
        <f>'Custos mês a mês'!J15</f>
        <v/>
      </c>
      <c r="K44" s="29">
        <f>'Custos mês a mês'!K15</f>
        <v/>
      </c>
      <c r="L44" s="29">
        <f>'Custos mês a mês'!L15</f>
        <v/>
      </c>
      <c r="M44" s="29">
        <f>'Custos mês a mês'!M15</f>
        <v/>
      </c>
      <c r="N44" s="29">
        <f>'Custos mês a mês'!N15</f>
        <v/>
      </c>
      <c r="O44" s="29">
        <f>'Custos mês a mês'!O15</f>
        <v/>
      </c>
      <c r="P44" s="29">
        <f>'Custos mês a mês'!P15</f>
        <v/>
      </c>
      <c r="Q44" s="29">
        <f>'Custos mês a mês'!Q15</f>
        <v/>
      </c>
      <c r="R44" s="29">
        <f>'Custos mês a mês'!R15</f>
        <v/>
      </c>
      <c r="S44" s="29">
        <f>'Custos mês a mês'!S15</f>
        <v/>
      </c>
    </row>
    <row r="45">
      <c r="A45" t="inlineStr">
        <is>
          <t>Pró-labore</t>
        </is>
      </c>
      <c r="B45" s="29">
        <f>'Custos mês a mês'!B16</f>
        <v/>
      </c>
      <c r="C45" s="29">
        <f>'Custos mês a mês'!C16</f>
        <v/>
      </c>
      <c r="D45" s="29">
        <f>'Custos mês a mês'!D16</f>
        <v/>
      </c>
      <c r="E45" s="29">
        <f>'Custos mês a mês'!E16</f>
        <v/>
      </c>
      <c r="F45" s="29">
        <f>'Custos mês a mês'!F16</f>
        <v/>
      </c>
      <c r="G45" s="29">
        <f>'Custos mês a mês'!G16</f>
        <v/>
      </c>
      <c r="H45" s="29">
        <f>'Custos mês a mês'!H16</f>
        <v/>
      </c>
      <c r="I45" s="29">
        <f>'Custos mês a mês'!I16</f>
        <v/>
      </c>
      <c r="J45" s="29">
        <f>'Custos mês a mês'!J16</f>
        <v/>
      </c>
      <c r="K45" s="29">
        <f>'Custos mês a mês'!K16</f>
        <v/>
      </c>
      <c r="L45" s="29">
        <f>'Custos mês a mês'!L16</f>
        <v/>
      </c>
      <c r="M45" s="29">
        <f>'Custos mês a mês'!M16</f>
        <v/>
      </c>
      <c r="N45" s="29">
        <f>'Custos mês a mês'!N16</f>
        <v/>
      </c>
      <c r="O45" s="29">
        <f>'Custos mês a mês'!O16</f>
        <v/>
      </c>
      <c r="P45" s="29">
        <f>'Custos mês a mês'!P16</f>
        <v/>
      </c>
      <c r="Q45" s="29">
        <f>'Custos mês a mês'!Q16</f>
        <v/>
      </c>
      <c r="R45" s="29">
        <f>'Custos mês a mês'!R16</f>
        <v/>
      </c>
      <c r="S45" s="29">
        <f>'Custos mês a mês'!S16</f>
        <v/>
      </c>
    </row>
    <row r="46">
      <c r="A46" s="42" t="inlineStr">
        <is>
          <t>Total de despesas</t>
        </is>
      </c>
      <c r="B46" s="24">
        <f>SUM(B23:B45)</f>
        <v/>
      </c>
      <c r="C46" s="24">
        <f>SUM(C23:C45)</f>
        <v/>
      </c>
      <c r="D46" s="24">
        <f>SUM(D23:D45)</f>
        <v/>
      </c>
      <c r="E46" s="24">
        <f>SUM(E23:E45)</f>
        <v/>
      </c>
      <c r="F46" s="24">
        <f>SUM(F23:F45)</f>
        <v/>
      </c>
      <c r="G46" s="24">
        <f>SUM(G23:G45)</f>
        <v/>
      </c>
      <c r="H46" s="24">
        <f>SUM(H23:H45)</f>
        <v/>
      </c>
      <c r="I46" s="24">
        <f>SUM(I23:I45)</f>
        <v/>
      </c>
      <c r="J46" s="24">
        <f>SUM(J23:J45)</f>
        <v/>
      </c>
      <c r="K46" s="24">
        <f>SUM(K23:K45)</f>
        <v/>
      </c>
      <c r="L46" s="24">
        <f>SUM(L23:L45)</f>
        <v/>
      </c>
      <c r="M46" s="24">
        <f>SUM(M23:M45)</f>
        <v/>
      </c>
      <c r="N46" s="24">
        <f>SUM(N23:N45)</f>
        <v/>
      </c>
      <c r="O46" s="24">
        <f>SUM(O23:O45)</f>
        <v/>
      </c>
      <c r="P46" s="24">
        <f>SUM(P23:P45)</f>
        <v/>
      </c>
      <c r="Q46" s="24">
        <f>SUM(Q23:Q45)</f>
        <v/>
      </c>
      <c r="R46" s="24">
        <f>SUM(R23:R45)</f>
        <v/>
      </c>
      <c r="S46" s="24">
        <f>SUM(S23:S45)</f>
        <v/>
      </c>
    </row>
    <row r="48">
      <c r="A48" s="14" t="inlineStr">
        <is>
          <t>Resultado do mês</t>
        </is>
      </c>
      <c r="B48" s="44">
        <f>B15-B46</f>
        <v/>
      </c>
      <c r="C48" s="44">
        <f>C15-C46</f>
        <v/>
      </c>
      <c r="D48" s="44">
        <f>D15-D46</f>
        <v/>
      </c>
      <c r="E48" s="44">
        <f>E15-E46</f>
        <v/>
      </c>
      <c r="F48" s="44">
        <f>F15-F46</f>
        <v/>
      </c>
      <c r="G48" s="44">
        <f>G15-G46</f>
        <v/>
      </c>
      <c r="H48" s="44">
        <f>H15-H46</f>
        <v/>
      </c>
      <c r="I48" s="44">
        <f>I15-I46</f>
        <v/>
      </c>
      <c r="J48" s="44">
        <f>J15-J46</f>
        <v/>
      </c>
      <c r="K48" s="44">
        <f>K15-K46</f>
        <v/>
      </c>
      <c r="L48" s="44">
        <f>L15-L46</f>
        <v/>
      </c>
      <c r="M48" s="44">
        <f>M15-M46</f>
        <v/>
      </c>
      <c r="N48" s="44">
        <f>N15-N46</f>
        <v/>
      </c>
      <c r="O48" s="44">
        <f>O15-O46</f>
        <v/>
      </c>
      <c r="P48" s="44">
        <f>P15-P46</f>
        <v/>
      </c>
      <c r="Q48" s="44">
        <f>Q15-Q46</f>
        <v/>
      </c>
      <c r="R48" s="44">
        <f>R15-R46</f>
        <v/>
      </c>
      <c r="S48" s="44">
        <f>S15-S46</f>
        <v/>
      </c>
    </row>
    <row r="49">
      <c r="A49" s="14" t="inlineStr">
        <is>
          <t>Caixa acumulado (operacional)</t>
        </is>
      </c>
      <c r="B49" s="44">
        <f>B48</f>
        <v/>
      </c>
      <c r="C49" s="44">
        <f>B49+C48</f>
        <v/>
      </c>
      <c r="D49" s="44">
        <f>C49+D48</f>
        <v/>
      </c>
      <c r="E49" s="44">
        <f>D49+E48</f>
        <v/>
      </c>
      <c r="F49" s="44">
        <f>E49+F48</f>
        <v/>
      </c>
      <c r="G49" s="44">
        <f>F49+G48</f>
        <v/>
      </c>
      <c r="H49" s="44">
        <f>G49+H48</f>
        <v/>
      </c>
      <c r="I49" s="44">
        <f>H49+I48</f>
        <v/>
      </c>
      <c r="J49" s="44">
        <f>I49+J48</f>
        <v/>
      </c>
      <c r="K49" s="44">
        <f>J49+K48</f>
        <v/>
      </c>
      <c r="L49" s="44">
        <f>K49+L48</f>
        <v/>
      </c>
      <c r="M49" s="44">
        <f>L49+M48</f>
        <v/>
      </c>
      <c r="N49" s="44">
        <f>M49+N48</f>
        <v/>
      </c>
      <c r="O49" s="44">
        <f>N49+O48</f>
        <v/>
      </c>
      <c r="P49" s="44">
        <f>O49+P48</f>
        <v/>
      </c>
      <c r="Q49" s="44">
        <f>P49+Q48</f>
        <v/>
      </c>
      <c r="R49" s="44">
        <f>Q49+R48</f>
        <v/>
      </c>
      <c r="S49" s="44">
        <f>R49+S48</f>
        <v/>
      </c>
    </row>
    <row r="50">
      <c r="A50" s="14" t="inlineStr">
        <is>
          <t>Caixa acumulado incl. investimento</t>
        </is>
      </c>
      <c r="B50" s="44">
        <f>B49-INVEST_TOTAL</f>
        <v/>
      </c>
      <c r="C50" s="44">
        <f>C49-INVEST_TOTAL</f>
        <v/>
      </c>
      <c r="D50" s="44">
        <f>D49-INVEST_TOTAL</f>
        <v/>
      </c>
      <c r="E50" s="44">
        <f>E49-INVEST_TOTAL</f>
        <v/>
      </c>
      <c r="F50" s="44">
        <f>F49-INVEST_TOTAL</f>
        <v/>
      </c>
      <c r="G50" s="44">
        <f>G49-INVEST_TOTAL</f>
        <v/>
      </c>
      <c r="H50" s="44">
        <f>H49-INVEST_TOTAL</f>
        <v/>
      </c>
      <c r="I50" s="44">
        <f>I49-INVEST_TOTAL</f>
        <v/>
      </c>
      <c r="J50" s="44">
        <f>J49-INVEST_TOTAL</f>
        <v/>
      </c>
      <c r="K50" s="44">
        <f>K49-INVEST_TOTAL</f>
        <v/>
      </c>
      <c r="L50" s="44">
        <f>L49-INVEST_TOTAL</f>
        <v/>
      </c>
      <c r="M50" s="44">
        <f>M49-INVEST_TOTAL</f>
        <v/>
      </c>
      <c r="N50" s="44">
        <f>N49-INVEST_TOTAL</f>
        <v/>
      </c>
      <c r="O50" s="44">
        <f>O49-INVEST_TOTAL</f>
        <v/>
      </c>
      <c r="P50" s="44">
        <f>P49-INVEST_TOTAL</f>
        <v/>
      </c>
      <c r="Q50" s="44">
        <f>Q49-INVEST_TOTAL</f>
        <v/>
      </c>
      <c r="R50" s="44">
        <f>R49-INVEST_TOTAL</f>
        <v/>
      </c>
      <c r="S50" s="44">
        <f>S49-INVEST_TOTAL</f>
        <v/>
      </c>
    </row>
    <row r="51">
      <c r="A51" s="14" t="inlineStr">
        <is>
          <t>MARCOS</t>
        </is>
      </c>
      <c r="B51" s="45" t="inlineStr"/>
      <c r="C51" s="45" t="inlineStr"/>
      <c r="D51" s="45">
        <f>IF(AND(D48&gt;0,COUNTIF($D48:D48,"&gt;0")=1),IF(AND(D50&gt;=0,COUNTIF($D50:D50,"&gt;=0")=1),"BE + PAYBACK","BREAK-EVEN"),IF(AND(D50&gt;=0,COUNTIF($D50:D50,"&gt;=0")=1),"PAYBACK",""))</f>
        <v/>
      </c>
      <c r="E51" s="45">
        <f>IF(AND(E48&gt;0,COUNTIF($D48:E48,"&gt;0")=1),IF(AND(E50&gt;=0,COUNTIF($D50:E50,"&gt;=0")=1),"BE + PAYBACK","BREAK-EVEN"),IF(AND(E50&gt;=0,COUNTIF($D50:E50,"&gt;=0")=1),"PAYBACK",""))</f>
        <v/>
      </c>
      <c r="F51" s="45">
        <f>IF(AND(F48&gt;0,COUNTIF($D48:F48,"&gt;0")=1),IF(AND(F50&gt;=0,COUNTIF($D50:F50,"&gt;=0")=1),"BE + PAYBACK","BREAK-EVEN"),IF(AND(F50&gt;=0,COUNTIF($D50:F50,"&gt;=0")=1),"PAYBACK",""))</f>
        <v/>
      </c>
      <c r="G51" s="45">
        <f>IF(AND(G48&gt;0,COUNTIF($D48:G48,"&gt;0")=1),IF(AND(G50&gt;=0,COUNTIF($D50:G50,"&gt;=0")=1),"BE + PAYBACK","BREAK-EVEN"),IF(AND(G50&gt;=0,COUNTIF($D50:G50,"&gt;=0")=1),"PAYBACK",""))</f>
        <v/>
      </c>
      <c r="H51" s="45">
        <f>IF(AND(H48&gt;0,COUNTIF($D48:H48,"&gt;0")=1),IF(AND(H50&gt;=0,COUNTIF($D50:H50,"&gt;=0")=1),"BE + PAYBACK","BREAK-EVEN"),IF(AND(H50&gt;=0,COUNTIF($D50:H50,"&gt;=0")=1),"PAYBACK",""))</f>
        <v/>
      </c>
      <c r="I51" s="45">
        <f>IF(AND(I48&gt;0,COUNTIF($D48:I48,"&gt;0")=1),IF(AND(I50&gt;=0,COUNTIF($D50:I50,"&gt;=0")=1),"BE + PAYBACK","BREAK-EVEN"),IF(AND(I50&gt;=0,COUNTIF($D50:I50,"&gt;=0")=1),"PAYBACK",""))</f>
        <v/>
      </c>
      <c r="J51" s="45">
        <f>IF(AND(J48&gt;0,COUNTIF($D48:J48,"&gt;0")=1),IF(AND(J50&gt;=0,COUNTIF($D50:J50,"&gt;=0")=1),"BE + PAYBACK","BREAK-EVEN"),IF(AND(J50&gt;=0,COUNTIF($D50:J50,"&gt;=0")=1),"PAYBACK",""))</f>
        <v/>
      </c>
      <c r="K51" s="45">
        <f>IF(AND(K48&gt;0,COUNTIF($D48:K48,"&gt;0")=1),IF(AND(K50&gt;=0,COUNTIF($D50:K50,"&gt;=0")=1),"BE + PAYBACK","BREAK-EVEN"),IF(AND(K50&gt;=0,COUNTIF($D50:K50,"&gt;=0")=1),"PAYBACK",""))</f>
        <v/>
      </c>
      <c r="L51" s="45">
        <f>IF(AND(L48&gt;0,COUNTIF($D48:L48,"&gt;0")=1),IF(AND(L50&gt;=0,COUNTIF($D50:L50,"&gt;=0")=1),"BE + PAYBACK","BREAK-EVEN"),IF(AND(L50&gt;=0,COUNTIF($D50:L50,"&gt;=0")=1),"PAYBACK",""))</f>
        <v/>
      </c>
      <c r="M51" s="45">
        <f>IF(AND(M48&gt;0,COUNTIF($D48:M48,"&gt;0")=1),IF(AND(M50&gt;=0,COUNTIF($D50:M50,"&gt;=0")=1),"BE + PAYBACK","BREAK-EVEN"),IF(AND(M50&gt;=0,COUNTIF($D50:M50,"&gt;=0")=1),"PAYBACK",""))</f>
        <v/>
      </c>
      <c r="N51" s="45">
        <f>IF(AND(N48&gt;0,COUNTIF($D48:N48,"&gt;0")=1),IF(AND(N50&gt;=0,COUNTIF($D50:N50,"&gt;=0")=1),"BE + PAYBACK","BREAK-EVEN"),IF(AND(N50&gt;=0,COUNTIF($D50:N50,"&gt;=0")=1),"PAYBACK",""))</f>
        <v/>
      </c>
      <c r="O51" s="45">
        <f>IF(AND(O48&gt;0,COUNTIF($D48:O48,"&gt;0")=1),IF(AND(O50&gt;=0,COUNTIF($D50:O50,"&gt;=0")=1),"BE + PAYBACK","BREAK-EVEN"),IF(AND(O50&gt;=0,COUNTIF($D50:O50,"&gt;=0")=1),"PAYBACK",""))</f>
        <v/>
      </c>
      <c r="P51" s="45">
        <f>IF(AND(P48&gt;0,COUNTIF($D48:P48,"&gt;0")=1),IF(AND(P50&gt;=0,COUNTIF($D50:P50,"&gt;=0")=1),"BE + PAYBACK","BREAK-EVEN"),IF(AND(P50&gt;=0,COUNTIF($D50:P50,"&gt;=0")=1),"PAYBACK",""))</f>
        <v/>
      </c>
      <c r="Q51" s="45">
        <f>IF(AND(Q48&gt;0,COUNTIF($D48:Q48,"&gt;0")=1),IF(AND(Q50&gt;=0,COUNTIF($D50:Q50,"&gt;=0")=1),"BE + PAYBACK","BREAK-EVEN"),IF(AND(Q50&gt;=0,COUNTIF($D50:Q50,"&gt;=0")=1),"PAYBACK",""))</f>
        <v/>
      </c>
      <c r="R51" s="45">
        <f>IF(AND(R48&gt;0,COUNTIF($D48:R48,"&gt;0")=1),IF(AND(R50&gt;=0,COUNTIF($D50:R50,"&gt;=0")=1),"BE + PAYBACK","BREAK-EVEN"),IF(AND(R50&gt;=0,COUNTIF($D50:R50,"&gt;=0")=1),"PAYBACK",""))</f>
        <v/>
      </c>
      <c r="S51" s="45">
        <f>IF(AND(S48&gt;0,COUNTIF($D48:S48,"&gt;0")=1),IF(AND(S50&gt;=0,COUNTIF($D50:S50,"&gt;=0")=1),"BE + PAYBACK","BREAK-EVEN"),IF(AND(S50&gt;=0,COUNTIF($D50:S50,"&gt;=0")=1),"PAYBACK",""))</f>
        <v/>
      </c>
    </row>
    <row r="53">
      <c r="A53" s="8" t="inlineStr">
        <is>
          <t>AJUSTES RÁPIDOS — valem só nesta aba</t>
        </is>
      </c>
    </row>
    <row r="54">
      <c r="A54" s="46" t="inlineStr">
        <is>
          <t>Churn mensal (%)</t>
        </is>
      </c>
      <c r="B54" s="10" t="n">
        <v>0.1</v>
      </c>
      <c r="D54" s="7" t="inlineStr">
        <is>
          <t>Teste hipóteses sem mexer nos 3 cenários oficiais.</t>
        </is>
      </c>
    </row>
    <row r="55">
      <c r="A55" s="46" t="inlineStr">
        <is>
          <t>Inadimplência (%)</t>
        </is>
      </c>
      <c r="B55" s="10" t="n">
        <v>0.1</v>
      </c>
    </row>
    <row r="56">
      <c r="A56" s="46" t="inlineStr">
        <is>
          <t>Mensalidade (R$)</t>
        </is>
      </c>
      <c r="B56" s="6" t="n">
        <v>280</v>
      </c>
    </row>
    <row r="58">
      <c r="A58" s="8" t="inlineStr">
        <is>
          <t>SAÚDE DA EMPRESA</t>
        </is>
      </c>
    </row>
    <row r="59">
      <c r="A59" s="14" t="inlineStr">
        <is>
          <t>Alunos no fim do horizonte (M16)</t>
        </is>
      </c>
      <c r="B59" s="17">
        <f>S7</f>
        <v/>
      </c>
    </row>
    <row r="60">
      <c r="A60" s="14" t="inlineStr">
        <is>
          <t>Alíquota efetiva do Simples no M16</t>
        </is>
      </c>
      <c r="B60" s="47">
        <f>S20</f>
        <v/>
      </c>
    </row>
    <row r="61">
      <c r="A61" s="14" t="inlineStr">
        <is>
          <t>Resultado no M16</t>
        </is>
      </c>
      <c r="B61" s="48">
        <f>S48</f>
        <v/>
      </c>
    </row>
    <row r="62">
      <c r="A62" s="14" t="inlineStr">
        <is>
          <t>Pior caixa operacional</t>
        </is>
      </c>
      <c r="B62" s="48">
        <f>MIN(B49:S49)</f>
        <v/>
      </c>
    </row>
    <row r="63">
      <c r="A63" s="14" t="inlineStr">
        <is>
          <t>Capital de giro necessário</t>
        </is>
      </c>
      <c r="B63" s="15">
        <f>MAX(0,-B62)</f>
        <v/>
      </c>
    </row>
    <row r="64">
      <c r="A64" s="14" t="inlineStr">
        <is>
          <t>1º mês de operação com lucro</t>
        </is>
      </c>
      <c r="B64" s="18">
        <f>IFERROR(MATCH(TRUE,INDEX(D48:S48&gt;0,0),0),"—")</f>
        <v/>
      </c>
    </row>
    <row r="65">
      <c r="A65" s="14" t="inlineStr">
        <is>
          <t>Payback incl. investimento (mês)</t>
        </is>
      </c>
      <c r="B65" s="18">
        <f>IFERROR(MATCH(TRUE,INDEX(D50:S50&gt;=0,0),0),"não atinge")</f>
        <v/>
      </c>
    </row>
    <row r="66">
      <c r="A66" s="14" t="inlineStr">
        <is>
          <t>Caixa final incl. investimento</t>
        </is>
      </c>
      <c r="B66" s="48">
        <f>S50</f>
        <v/>
      </c>
    </row>
    <row r="67">
      <c r="A67" s="14" t="inlineStr">
        <is>
          <t>Necessidade total de capital</t>
        </is>
      </c>
      <c r="B67" s="15">
        <f>INVEST_TOTAL+B63</f>
        <v/>
      </c>
    </row>
    <row r="69">
      <c r="A69" s="49" t="inlineStr">
        <is>
          <t>VEREDITO</t>
        </is>
      </c>
      <c r="B69" s="50">
        <f>IF(NOT(ISNUMBER(B65)),"❌ NÃO SE PAGA em 16 meses",IF(B65&lt;=12,"✅ SAUDÁVEL — payback no mês "&amp;B65,"⚠️ NO LIMITE — payback no mês "&amp;B65))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mergeCells count="1">
    <mergeCell ref="B69:G69"/>
  </mergeCells>
  <conditionalFormatting sqref="D7:S7">
    <cfRule type="expression" priority="1" dxfId="0" stopIfTrue="1">
      <formula>AND(D7&gt;=$U$4,COUNTIF($D7:D7,"&gt;="&amp;$U$4)=1)</formula>
    </cfRule>
  </conditionalFormatting>
  <conditionalFormatting sqref="D48:S48">
    <cfRule type="expression" priority="2" dxfId="0" stopIfTrue="1">
      <formula>AND(D48&gt;0,COUNTIF($D48:D48,"&gt;0")=1)</formula>
    </cfRule>
  </conditionalFormatting>
  <conditionalFormatting sqref="D50:S50">
    <cfRule type="expression" priority="3" dxfId="1" stopIfTrue="1">
      <formula>AND(D50&gt;=0,COUNTIF($D50:D50,"&gt;=0")=1)</formula>
    </cfRule>
  </conditionalFormatting>
  <conditionalFormatting sqref="D51:S51">
    <cfRule type="expression" priority="4" dxfId="0" stopIfTrue="1">
      <formula>OR(D51="BREAK-EVEN",D51="BE + PAYBACK")</formula>
    </cfRule>
    <cfRule type="expression" priority="5" dxfId="1" stopIfTrue="1">
      <formula>D51="PAYBACK"</formula>
    </cfRule>
  </conditionalFormatting>
  <conditionalFormatting sqref="B7:S7">
    <cfRule type="expression" priority="6" dxfId="2">
      <formula>B7&gt;=$U$4</formula>
    </cfRule>
  </conditionalFormatting>
  <conditionalFormatting sqref="B48:S48">
    <cfRule type="cellIs" priority="7" operator="greaterThan" dxfId="2">
      <formula>0</formula>
    </cfRule>
  </conditionalFormatting>
  <conditionalFormatting sqref="B50:S50">
    <cfRule type="cellIs" priority="8" operator="greaterThanOrEqual" dxfId="2">
      <formula>0</formula>
    </cfRule>
  </conditionalFormatting>
  <conditionalFormatting sqref="D9:S9">
    <cfRule type="cellIs" priority="9" operator="greaterThan" dxfId="3">
      <formula>1</formula>
    </cfRule>
  </conditionalFormatting>
  <dataValidations count="1">
    <dataValidation sqref="B3:S3" showDropDown="0" showInputMessage="0" showErrorMessage="0" allowBlank="1" errorTitle="Valor inválido" error="Digite um número inteiro de matrículas (0 ou mais)." type="whole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S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REALIZADO — lance o que de fato entrou e saiu</t>
        </is>
      </c>
      <c r="B1" s="23" t="inlineStr">
        <is>
          <t>Out (obras)</t>
        </is>
      </c>
      <c r="C1" s="23" t="inlineStr">
        <is>
          <t>Nov (obras)</t>
        </is>
      </c>
      <c r="D1" s="23" t="inlineStr">
        <is>
          <t>Dez (M1)</t>
        </is>
      </c>
      <c r="E1" s="23" t="inlineStr">
        <is>
          <t>Jan (M2)</t>
        </is>
      </c>
      <c r="F1" s="23" t="inlineStr">
        <is>
          <t>Fev (M3)</t>
        </is>
      </c>
      <c r="G1" s="23" t="inlineStr">
        <is>
          <t>Mar (M4)</t>
        </is>
      </c>
      <c r="H1" s="23" t="inlineStr">
        <is>
          <t>Abr (M5)</t>
        </is>
      </c>
      <c r="I1" s="23" t="inlineStr">
        <is>
          <t>Mai (M6)</t>
        </is>
      </c>
      <c r="J1" s="23" t="inlineStr">
        <is>
          <t>Jun (M7)</t>
        </is>
      </c>
      <c r="K1" s="23" t="inlineStr">
        <is>
          <t>Jul (M8)</t>
        </is>
      </c>
      <c r="L1" s="23" t="inlineStr">
        <is>
          <t>Ago (M9)</t>
        </is>
      </c>
      <c r="M1" s="23" t="inlineStr">
        <is>
          <t>Set (M10)</t>
        </is>
      </c>
      <c r="N1" s="23" t="inlineStr">
        <is>
          <t>Out (M11)</t>
        </is>
      </c>
      <c r="O1" s="23" t="inlineStr">
        <is>
          <t>Nov (M12)</t>
        </is>
      </c>
      <c r="P1" s="23" t="inlineStr">
        <is>
          <t>Dez (M13)</t>
        </is>
      </c>
      <c r="Q1" s="23" t="inlineStr">
        <is>
          <t>Jan (M14)</t>
        </is>
      </c>
      <c r="R1" s="23" t="inlineStr">
        <is>
          <t>Fev (M15)</t>
        </is>
      </c>
      <c r="S1" s="23" t="inlineStr">
        <is>
          <t>Mar (M16)</t>
        </is>
      </c>
    </row>
    <row r="2">
      <c r="A2" t="inlineStr">
        <is>
          <t>Alunos ativos no fim do mês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</row>
    <row r="3">
      <c r="A3" t="inlineStr">
        <is>
          <t>Matrículas feitas no mês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</row>
    <row r="4">
      <c r="A4" t="inlineStr">
        <is>
          <t>Desistências no mês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</row>
    <row r="6">
      <c r="A6" s="8" t="inlineStr">
        <is>
          <t>RECEITAS RECEBIDAS</t>
        </is>
      </c>
    </row>
    <row r="7">
      <c r="A7" t="inlineStr">
        <is>
          <t>Matrículas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t="inlineStr">
        <is>
          <t>Mensalidades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</row>
    <row r="9">
      <c r="A9" t="inlineStr">
        <is>
          <t>Material didático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</row>
    <row r="10">
      <c r="A10" t="inlineStr">
        <is>
          <t>Outras receitas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</row>
    <row r="11">
      <c r="A11" t="inlineStr">
        <is>
          <t>Total recebido</t>
        </is>
      </c>
      <c r="B11" s="24">
        <f>SUM(B7:B10)</f>
        <v/>
      </c>
      <c r="C11" s="24">
        <f>SUM(C7:C10)</f>
        <v/>
      </c>
      <c r="D11" s="24">
        <f>SUM(D7:D10)</f>
        <v/>
      </c>
      <c r="E11" s="24">
        <f>SUM(E7:E10)</f>
        <v/>
      </c>
      <c r="F11" s="24">
        <f>SUM(F7:F10)</f>
        <v/>
      </c>
      <c r="G11" s="24">
        <f>SUM(G7:G10)</f>
        <v/>
      </c>
      <c r="H11" s="24">
        <f>SUM(H7:H10)</f>
        <v/>
      </c>
      <c r="I11" s="24">
        <f>SUM(I7:I10)</f>
        <v/>
      </c>
      <c r="J11" s="24">
        <f>SUM(J7:J10)</f>
        <v/>
      </c>
      <c r="K11" s="24">
        <f>SUM(K7:K10)</f>
        <v/>
      </c>
      <c r="L11" s="24">
        <f>SUM(L7:L10)</f>
        <v/>
      </c>
      <c r="M11" s="24">
        <f>SUM(M7:M10)</f>
        <v/>
      </c>
      <c r="N11" s="24">
        <f>SUM(N7:N10)</f>
        <v/>
      </c>
      <c r="O11" s="24">
        <f>SUM(O7:O10)</f>
        <v/>
      </c>
      <c r="P11" s="24">
        <f>SUM(P7:P10)</f>
        <v/>
      </c>
      <c r="Q11" s="24">
        <f>SUM(Q7:Q10)</f>
        <v/>
      </c>
      <c r="R11" s="24">
        <f>SUM(R7:R10)</f>
        <v/>
      </c>
      <c r="S11" s="24">
        <f>SUM(S7:S10)</f>
        <v/>
      </c>
    </row>
    <row r="13">
      <c r="A13" s="8" t="inlineStr">
        <is>
          <t>DESPESAS PAGAS</t>
        </is>
      </c>
    </row>
    <row r="14">
      <c r="A14" t="inlineStr">
        <is>
          <t>Impostos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</row>
    <row r="15">
      <c r="A15" t="inlineStr">
        <is>
          <t>Material — parcelas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</row>
    <row r="16">
      <c r="A16" t="inlineStr">
        <is>
          <t>Comissões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</row>
    <row r="17">
      <c r="A17" t="inlineStr">
        <is>
          <t>Folha + encargos mensais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</row>
    <row r="18">
      <c r="A18" t="inlineStr">
        <is>
          <t>Vale-transporte / benefícios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</row>
    <row r="19">
      <c r="A19" t="inlineStr">
        <is>
          <t>13º e férias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</row>
    <row r="20">
      <c r="A20" t="inlineStr">
        <is>
          <t>Professores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</row>
    <row r="21">
      <c r="A21" t="inlineStr">
        <is>
          <t>Aluguel do espaço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</row>
    <row r="22">
      <c r="A22" t="inlineStr">
        <is>
          <t>Água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</row>
    <row r="23">
      <c r="A23" t="inlineStr">
        <is>
          <t>Luz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</row>
    <row r="24">
      <c r="A24" t="inlineStr">
        <is>
          <t>Telefone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</row>
    <row r="25">
      <c r="A25" t="inlineStr">
        <is>
          <t>Internet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</row>
    <row r="26">
      <c r="A26" t="inlineStr">
        <is>
          <t>Sistema de gestão DiscoverON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</row>
    <row r="27">
      <c r="A27" t="inlineStr">
        <is>
          <t>Itens para aula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</row>
    <row r="28">
      <c r="A28" t="inlineStr">
        <is>
          <t>Materiais de limpeza + higiene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</row>
    <row r="29">
      <c r="A29" t="inlineStr">
        <is>
          <t>Brindes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</row>
    <row r="30">
      <c r="A30" t="inlineStr">
        <is>
          <t>Marketing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</row>
    <row r="31">
      <c r="A31" t="inlineStr">
        <is>
          <t>Aluguel dos computadores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</row>
    <row r="32">
      <c r="A32" t="inlineStr">
        <is>
          <t>Seguro empresarial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</row>
    <row r="33">
      <c r="A33" t="inlineStr">
        <is>
          <t>Taxas bancárias + gasolina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</row>
    <row r="34">
      <c r="A34" t="inlineStr">
        <is>
          <t>Custos operacionais (contab., manut., licenças…)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</row>
    <row r="35">
      <c r="A35" t="inlineStr">
        <is>
          <t>Pró-labore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</row>
    <row r="36">
      <c r="A36" t="inlineStr">
        <is>
          <t>Outras despesas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</row>
    <row r="37">
      <c r="A37" t="inlineStr">
        <is>
          <t>Total pago</t>
        </is>
      </c>
      <c r="B37" s="24">
        <f>SUM(B14:B36)</f>
        <v/>
      </c>
      <c r="C37" s="24">
        <f>SUM(C14:C36)</f>
        <v/>
      </c>
      <c r="D37" s="24">
        <f>SUM(D14:D36)</f>
        <v/>
      </c>
      <c r="E37" s="24">
        <f>SUM(E14:E36)</f>
        <v/>
      </c>
      <c r="F37" s="24">
        <f>SUM(F14:F36)</f>
        <v/>
      </c>
      <c r="G37" s="24">
        <f>SUM(G14:G36)</f>
        <v/>
      </c>
      <c r="H37" s="24">
        <f>SUM(H14:H36)</f>
        <v/>
      </c>
      <c r="I37" s="24">
        <f>SUM(I14:I36)</f>
        <v/>
      </c>
      <c r="J37" s="24">
        <f>SUM(J14:J36)</f>
        <v/>
      </c>
      <c r="K37" s="24">
        <f>SUM(K14:K36)</f>
        <v/>
      </c>
      <c r="L37" s="24">
        <f>SUM(L14:L36)</f>
        <v/>
      </c>
      <c r="M37" s="24">
        <f>SUM(M14:M36)</f>
        <v/>
      </c>
      <c r="N37" s="24">
        <f>SUM(N14:N36)</f>
        <v/>
      </c>
      <c r="O37" s="24">
        <f>SUM(O14:O36)</f>
        <v/>
      </c>
      <c r="P37" s="24">
        <f>SUM(P14:P36)</f>
        <v/>
      </c>
      <c r="Q37" s="24">
        <f>SUM(Q14:Q36)</f>
        <v/>
      </c>
      <c r="R37" s="24">
        <f>SUM(R14:R36)</f>
        <v/>
      </c>
      <c r="S37" s="24">
        <f>SUM(S14:S36)</f>
        <v/>
      </c>
    </row>
    <row r="39">
      <c r="A39" t="inlineStr">
        <is>
          <t>Resultado do mês</t>
        </is>
      </c>
      <c r="B39" s="51">
        <f>B11-B37</f>
        <v/>
      </c>
      <c r="C39" s="51">
        <f>C11-C37</f>
        <v/>
      </c>
      <c r="D39" s="51">
        <f>D11-D37</f>
        <v/>
      </c>
      <c r="E39" s="51">
        <f>E11-E37</f>
        <v/>
      </c>
      <c r="F39" s="51">
        <f>F11-F37</f>
        <v/>
      </c>
      <c r="G39" s="51">
        <f>G11-G37</f>
        <v/>
      </c>
      <c r="H39" s="51">
        <f>H11-H37</f>
        <v/>
      </c>
      <c r="I39" s="51">
        <f>I11-I37</f>
        <v/>
      </c>
      <c r="J39" s="51">
        <f>J11-J37</f>
        <v/>
      </c>
      <c r="K39" s="51">
        <f>K11-K37</f>
        <v/>
      </c>
      <c r="L39" s="51">
        <f>L11-L37</f>
        <v/>
      </c>
      <c r="M39" s="51">
        <f>M11-M37</f>
        <v/>
      </c>
      <c r="N39" s="51">
        <f>N11-N37</f>
        <v/>
      </c>
      <c r="O39" s="51">
        <f>O11-O37</f>
        <v/>
      </c>
      <c r="P39" s="51">
        <f>P11-P37</f>
        <v/>
      </c>
      <c r="Q39" s="51">
        <f>Q11-Q37</f>
        <v/>
      </c>
      <c r="R39" s="51">
        <f>R11-R37</f>
        <v/>
      </c>
      <c r="S39" s="51">
        <f>S11-S37</f>
        <v/>
      </c>
    </row>
    <row r="40">
      <c r="A40" t="inlineStr">
        <is>
          <t>Caixa acumulado</t>
        </is>
      </c>
      <c r="B40" s="51">
        <f>B39</f>
        <v/>
      </c>
      <c r="C40" s="51">
        <f>B40+C39</f>
        <v/>
      </c>
      <c r="D40" s="51">
        <f>C40+D39</f>
        <v/>
      </c>
      <c r="E40" s="51">
        <f>D40+E39</f>
        <v/>
      </c>
      <c r="F40" s="51">
        <f>E40+F39</f>
        <v/>
      </c>
      <c r="G40" s="51">
        <f>F40+G39</f>
        <v/>
      </c>
      <c r="H40" s="51">
        <f>G40+H39</f>
        <v/>
      </c>
      <c r="I40" s="51">
        <f>H40+I39</f>
        <v/>
      </c>
      <c r="J40" s="51">
        <f>I40+J39</f>
        <v/>
      </c>
      <c r="K40" s="51">
        <f>J40+K39</f>
        <v/>
      </c>
      <c r="L40" s="51">
        <f>K40+L39</f>
        <v/>
      </c>
      <c r="M40" s="51">
        <f>L40+M39</f>
        <v/>
      </c>
      <c r="N40" s="51">
        <f>M40+N39</f>
        <v/>
      </c>
      <c r="O40" s="51">
        <f>N40+O39</f>
        <v/>
      </c>
      <c r="P40" s="51">
        <f>O40+P39</f>
        <v/>
      </c>
      <c r="Q40" s="51">
        <f>P40+Q39</f>
        <v/>
      </c>
      <c r="R40" s="51">
        <f>Q40+R39</f>
        <v/>
      </c>
      <c r="S40" s="51">
        <f>R40+S39</f>
        <v/>
      </c>
    </row>
    <row r="42">
      <c r="A42" s="7" t="inlineStr">
        <is>
          <t>Preencha só o que já aconteceu — meses futuros ficam zerados.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S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DESVIO (Realizado − Plano) · plano = Cenário Moderado</t>
        </is>
      </c>
      <c r="B1" s="23" t="inlineStr">
        <is>
          <t>Out (obras)</t>
        </is>
      </c>
      <c r="C1" s="23" t="inlineStr">
        <is>
          <t>Nov (obras)</t>
        </is>
      </c>
      <c r="D1" s="23" t="inlineStr">
        <is>
          <t>Dez (M1)</t>
        </is>
      </c>
      <c r="E1" s="23" t="inlineStr">
        <is>
          <t>Jan (M2)</t>
        </is>
      </c>
      <c r="F1" s="23" t="inlineStr">
        <is>
          <t>Fev (M3)</t>
        </is>
      </c>
      <c r="G1" s="23" t="inlineStr">
        <is>
          <t>Mar (M4)</t>
        </is>
      </c>
      <c r="H1" s="23" t="inlineStr">
        <is>
          <t>Abr (M5)</t>
        </is>
      </c>
      <c r="I1" s="23" t="inlineStr">
        <is>
          <t>Mai (M6)</t>
        </is>
      </c>
      <c r="J1" s="23" t="inlineStr">
        <is>
          <t>Jun (M7)</t>
        </is>
      </c>
      <c r="K1" s="23" t="inlineStr">
        <is>
          <t>Jul (M8)</t>
        </is>
      </c>
      <c r="L1" s="23" t="inlineStr">
        <is>
          <t>Ago (M9)</t>
        </is>
      </c>
      <c r="M1" s="23" t="inlineStr">
        <is>
          <t>Set (M10)</t>
        </is>
      </c>
      <c r="N1" s="23" t="inlineStr">
        <is>
          <t>Out (M11)</t>
        </is>
      </c>
      <c r="O1" s="23" t="inlineStr">
        <is>
          <t>Nov (M12)</t>
        </is>
      </c>
      <c r="P1" s="23" t="inlineStr">
        <is>
          <t>Dez (M13)</t>
        </is>
      </c>
      <c r="Q1" s="23" t="inlineStr">
        <is>
          <t>Jan (M14)</t>
        </is>
      </c>
      <c r="R1" s="23" t="inlineStr">
        <is>
          <t>Fev (M15)</t>
        </is>
      </c>
      <c r="S1" s="23" t="inlineStr">
        <is>
          <t>Mar (M16)</t>
        </is>
      </c>
    </row>
    <row r="2">
      <c r="A2" t="inlineStr">
        <is>
          <t>Alunos ativos</t>
        </is>
      </c>
      <c r="B2" s="30">
        <f>Realizado!B2-'Cenário Moderado'!B7</f>
        <v/>
      </c>
      <c r="C2" s="30">
        <f>Realizado!C2-'Cenário Moderado'!C7</f>
        <v/>
      </c>
      <c r="D2" s="30">
        <f>Realizado!D2-'Cenário Moderado'!D7</f>
        <v/>
      </c>
      <c r="E2" s="30">
        <f>Realizado!E2-'Cenário Moderado'!E7</f>
        <v/>
      </c>
      <c r="F2" s="30">
        <f>Realizado!F2-'Cenário Moderado'!F7</f>
        <v/>
      </c>
      <c r="G2" s="30">
        <f>Realizado!G2-'Cenário Moderado'!G7</f>
        <v/>
      </c>
      <c r="H2" s="30">
        <f>Realizado!H2-'Cenário Moderado'!H7</f>
        <v/>
      </c>
      <c r="I2" s="30">
        <f>Realizado!I2-'Cenário Moderado'!I7</f>
        <v/>
      </c>
      <c r="J2" s="30">
        <f>Realizado!J2-'Cenário Moderado'!J7</f>
        <v/>
      </c>
      <c r="K2" s="30">
        <f>Realizado!K2-'Cenário Moderado'!K7</f>
        <v/>
      </c>
      <c r="L2" s="30">
        <f>Realizado!L2-'Cenário Moderado'!L7</f>
        <v/>
      </c>
      <c r="M2" s="30">
        <f>Realizado!M2-'Cenário Moderado'!M7</f>
        <v/>
      </c>
      <c r="N2" s="30">
        <f>Realizado!N2-'Cenário Moderado'!N7</f>
        <v/>
      </c>
      <c r="O2" s="30">
        <f>Realizado!O2-'Cenário Moderado'!O7</f>
        <v/>
      </c>
      <c r="P2" s="30">
        <f>Realizado!P2-'Cenário Moderado'!P7</f>
        <v/>
      </c>
      <c r="Q2" s="30">
        <f>Realizado!Q2-'Cenário Moderado'!Q7</f>
        <v/>
      </c>
      <c r="R2" s="30">
        <f>Realizado!R2-'Cenário Moderado'!R7</f>
        <v/>
      </c>
      <c r="S2" s="30">
        <f>Realizado!S2-'Cenário Moderado'!S7</f>
        <v/>
      </c>
    </row>
    <row r="3">
      <c r="A3" t="inlineStr">
        <is>
          <t>Matrículas no mês</t>
        </is>
      </c>
      <c r="B3" s="27">
        <f>Realizado!B3-'Cenário Moderado'!B4</f>
        <v/>
      </c>
      <c r="C3" s="27">
        <f>Realizado!C3-'Cenário Moderado'!C4</f>
        <v/>
      </c>
      <c r="D3" s="27">
        <f>Realizado!D3-'Cenário Moderado'!D4</f>
        <v/>
      </c>
      <c r="E3" s="27">
        <f>Realizado!E3-'Cenário Moderado'!E4</f>
        <v/>
      </c>
      <c r="F3" s="27">
        <f>Realizado!F3-'Cenário Moderado'!F4</f>
        <v/>
      </c>
      <c r="G3" s="27">
        <f>Realizado!G3-'Cenário Moderado'!G4</f>
        <v/>
      </c>
      <c r="H3" s="27">
        <f>Realizado!H3-'Cenário Moderado'!H4</f>
        <v/>
      </c>
      <c r="I3" s="27">
        <f>Realizado!I3-'Cenário Moderado'!I4</f>
        <v/>
      </c>
      <c r="J3" s="27">
        <f>Realizado!J3-'Cenário Moderado'!J4</f>
        <v/>
      </c>
      <c r="K3" s="27">
        <f>Realizado!K3-'Cenário Moderado'!K4</f>
        <v/>
      </c>
      <c r="L3" s="27">
        <f>Realizado!L3-'Cenário Moderado'!L4</f>
        <v/>
      </c>
      <c r="M3" s="27">
        <f>Realizado!M3-'Cenário Moderado'!M4</f>
        <v/>
      </c>
      <c r="N3" s="27">
        <f>Realizado!N3-'Cenário Moderado'!N4</f>
        <v/>
      </c>
      <c r="O3" s="27">
        <f>Realizado!O3-'Cenário Moderado'!O4</f>
        <v/>
      </c>
      <c r="P3" s="27">
        <f>Realizado!P3-'Cenário Moderado'!P4</f>
        <v/>
      </c>
      <c r="Q3" s="27">
        <f>Realizado!Q3-'Cenário Moderado'!Q4</f>
        <v/>
      </c>
      <c r="R3" s="27">
        <f>Realizado!R3-'Cenário Moderado'!R4</f>
        <v/>
      </c>
      <c r="S3" s="27">
        <f>Realizado!S3-'Cenário Moderado'!S4</f>
        <v/>
      </c>
    </row>
    <row r="5">
      <c r="A5" s="14" t="inlineStr">
        <is>
          <t>Receita recebida</t>
        </is>
      </c>
      <c r="B5" s="51">
        <f>Realizado!B11-'Cenário Moderado'!B15</f>
        <v/>
      </c>
      <c r="C5" s="51">
        <f>Realizado!C11-'Cenário Moderado'!C15</f>
        <v/>
      </c>
      <c r="D5" s="51">
        <f>Realizado!D11-'Cenário Moderado'!D15</f>
        <v/>
      </c>
      <c r="E5" s="51">
        <f>Realizado!E11-'Cenário Moderado'!E15</f>
        <v/>
      </c>
      <c r="F5" s="51">
        <f>Realizado!F11-'Cenário Moderado'!F15</f>
        <v/>
      </c>
      <c r="G5" s="51">
        <f>Realizado!G11-'Cenário Moderado'!G15</f>
        <v/>
      </c>
      <c r="H5" s="51">
        <f>Realizado!H11-'Cenário Moderado'!H15</f>
        <v/>
      </c>
      <c r="I5" s="51">
        <f>Realizado!I11-'Cenário Moderado'!I15</f>
        <v/>
      </c>
      <c r="J5" s="51">
        <f>Realizado!J11-'Cenário Moderado'!J15</f>
        <v/>
      </c>
      <c r="K5" s="51">
        <f>Realizado!K11-'Cenário Moderado'!K15</f>
        <v/>
      </c>
      <c r="L5" s="51">
        <f>Realizado!L11-'Cenário Moderado'!L15</f>
        <v/>
      </c>
      <c r="M5" s="51">
        <f>Realizado!M11-'Cenário Moderado'!M15</f>
        <v/>
      </c>
      <c r="N5" s="51">
        <f>Realizado!N11-'Cenário Moderado'!N15</f>
        <v/>
      </c>
      <c r="O5" s="51">
        <f>Realizado!O11-'Cenário Moderado'!O15</f>
        <v/>
      </c>
      <c r="P5" s="51">
        <f>Realizado!P11-'Cenário Moderado'!P15</f>
        <v/>
      </c>
      <c r="Q5" s="51">
        <f>Realizado!Q11-'Cenário Moderado'!Q15</f>
        <v/>
      </c>
      <c r="R5" s="51">
        <f>Realizado!R11-'Cenário Moderado'!R15</f>
        <v/>
      </c>
      <c r="S5" s="51">
        <f>Realizado!S11-'Cenário Moderado'!S15</f>
        <v/>
      </c>
    </row>
    <row r="7">
      <c r="A7" t="inlineStr">
        <is>
          <t>Impostos</t>
        </is>
      </c>
      <c r="B7" s="52">
        <f>Realizado!B14-'Cenário Moderado'!B23</f>
        <v/>
      </c>
      <c r="C7" s="52">
        <f>Realizado!C14-'Cenário Moderado'!C23</f>
        <v/>
      </c>
      <c r="D7" s="52">
        <f>Realizado!D14-'Cenário Moderado'!D23</f>
        <v/>
      </c>
      <c r="E7" s="52">
        <f>Realizado!E14-'Cenário Moderado'!E23</f>
        <v/>
      </c>
      <c r="F7" s="52">
        <f>Realizado!F14-'Cenário Moderado'!F23</f>
        <v/>
      </c>
      <c r="G7" s="52">
        <f>Realizado!G14-'Cenário Moderado'!G23</f>
        <v/>
      </c>
      <c r="H7" s="52">
        <f>Realizado!H14-'Cenário Moderado'!H23</f>
        <v/>
      </c>
      <c r="I7" s="52">
        <f>Realizado!I14-'Cenário Moderado'!I23</f>
        <v/>
      </c>
      <c r="J7" s="52">
        <f>Realizado!J14-'Cenário Moderado'!J23</f>
        <v/>
      </c>
      <c r="K7" s="52">
        <f>Realizado!K14-'Cenário Moderado'!K23</f>
        <v/>
      </c>
      <c r="L7" s="52">
        <f>Realizado!L14-'Cenário Moderado'!L23</f>
        <v/>
      </c>
      <c r="M7" s="52">
        <f>Realizado!M14-'Cenário Moderado'!M23</f>
        <v/>
      </c>
      <c r="N7" s="52">
        <f>Realizado!N14-'Cenário Moderado'!N23</f>
        <v/>
      </c>
      <c r="O7" s="52">
        <f>Realizado!O14-'Cenário Moderado'!O23</f>
        <v/>
      </c>
      <c r="P7" s="52">
        <f>Realizado!P14-'Cenário Moderado'!P23</f>
        <v/>
      </c>
      <c r="Q7" s="52">
        <f>Realizado!Q14-'Cenário Moderado'!Q23</f>
        <v/>
      </c>
      <c r="R7" s="52">
        <f>Realizado!R14-'Cenário Moderado'!R23</f>
        <v/>
      </c>
      <c r="S7" s="52">
        <f>Realizado!S14-'Cenário Moderado'!S23</f>
        <v/>
      </c>
    </row>
    <row r="8">
      <c r="A8" t="inlineStr">
        <is>
          <t>Material — parcelas</t>
        </is>
      </c>
      <c r="B8" s="52">
        <f>Realizado!B15-'Cenário Moderado'!B24</f>
        <v/>
      </c>
      <c r="C8" s="52">
        <f>Realizado!C15-'Cenário Moderado'!C24</f>
        <v/>
      </c>
      <c r="D8" s="52">
        <f>Realizado!D15-'Cenário Moderado'!D24</f>
        <v/>
      </c>
      <c r="E8" s="52">
        <f>Realizado!E15-'Cenário Moderado'!E24</f>
        <v/>
      </c>
      <c r="F8" s="52">
        <f>Realizado!F15-'Cenário Moderado'!F24</f>
        <v/>
      </c>
      <c r="G8" s="52">
        <f>Realizado!G15-'Cenário Moderado'!G24</f>
        <v/>
      </c>
      <c r="H8" s="52">
        <f>Realizado!H15-'Cenário Moderado'!H24</f>
        <v/>
      </c>
      <c r="I8" s="52">
        <f>Realizado!I15-'Cenário Moderado'!I24</f>
        <v/>
      </c>
      <c r="J8" s="52">
        <f>Realizado!J15-'Cenário Moderado'!J24</f>
        <v/>
      </c>
      <c r="K8" s="52">
        <f>Realizado!K15-'Cenário Moderado'!K24</f>
        <v/>
      </c>
      <c r="L8" s="52">
        <f>Realizado!L15-'Cenário Moderado'!L24</f>
        <v/>
      </c>
      <c r="M8" s="52">
        <f>Realizado!M15-'Cenário Moderado'!M24</f>
        <v/>
      </c>
      <c r="N8" s="52">
        <f>Realizado!N15-'Cenário Moderado'!N24</f>
        <v/>
      </c>
      <c r="O8" s="52">
        <f>Realizado!O15-'Cenário Moderado'!O24</f>
        <v/>
      </c>
      <c r="P8" s="52">
        <f>Realizado!P15-'Cenário Moderado'!P24</f>
        <v/>
      </c>
      <c r="Q8" s="52">
        <f>Realizado!Q15-'Cenário Moderado'!Q24</f>
        <v/>
      </c>
      <c r="R8" s="52">
        <f>Realizado!R15-'Cenário Moderado'!R24</f>
        <v/>
      </c>
      <c r="S8" s="52">
        <f>Realizado!S15-'Cenário Moderado'!S24</f>
        <v/>
      </c>
    </row>
    <row r="9">
      <c r="A9" t="inlineStr">
        <is>
          <t>Comissões</t>
        </is>
      </c>
      <c r="B9" s="52">
        <f>Realizado!B16-'Cenário Moderado'!B25</f>
        <v/>
      </c>
      <c r="C9" s="52">
        <f>Realizado!C16-'Cenário Moderado'!C25</f>
        <v/>
      </c>
      <c r="D9" s="52">
        <f>Realizado!D16-'Cenário Moderado'!D25</f>
        <v/>
      </c>
      <c r="E9" s="52">
        <f>Realizado!E16-'Cenário Moderado'!E25</f>
        <v/>
      </c>
      <c r="F9" s="52">
        <f>Realizado!F16-'Cenário Moderado'!F25</f>
        <v/>
      </c>
      <c r="G9" s="52">
        <f>Realizado!G16-'Cenário Moderado'!G25</f>
        <v/>
      </c>
      <c r="H9" s="52">
        <f>Realizado!H16-'Cenário Moderado'!H25</f>
        <v/>
      </c>
      <c r="I9" s="52">
        <f>Realizado!I16-'Cenário Moderado'!I25</f>
        <v/>
      </c>
      <c r="J9" s="52">
        <f>Realizado!J16-'Cenário Moderado'!J25</f>
        <v/>
      </c>
      <c r="K9" s="52">
        <f>Realizado!K16-'Cenário Moderado'!K25</f>
        <v/>
      </c>
      <c r="L9" s="52">
        <f>Realizado!L16-'Cenário Moderado'!L25</f>
        <v/>
      </c>
      <c r="M9" s="52">
        <f>Realizado!M16-'Cenário Moderado'!M25</f>
        <v/>
      </c>
      <c r="N9" s="52">
        <f>Realizado!N16-'Cenário Moderado'!N25</f>
        <v/>
      </c>
      <c r="O9" s="52">
        <f>Realizado!O16-'Cenário Moderado'!O25</f>
        <v/>
      </c>
      <c r="P9" s="52">
        <f>Realizado!P16-'Cenário Moderado'!P25</f>
        <v/>
      </c>
      <c r="Q9" s="52">
        <f>Realizado!Q16-'Cenário Moderado'!Q25</f>
        <v/>
      </c>
      <c r="R9" s="52">
        <f>Realizado!R16-'Cenário Moderado'!R25</f>
        <v/>
      </c>
      <c r="S9" s="52">
        <f>Realizado!S16-'Cenário Moderado'!S25</f>
        <v/>
      </c>
    </row>
    <row r="10">
      <c r="A10" t="inlineStr">
        <is>
          <t>Folha + encargos mensais</t>
        </is>
      </c>
      <c r="B10" s="52">
        <f>Realizado!B17-'Cenário Moderado'!B27</f>
        <v/>
      </c>
      <c r="C10" s="52">
        <f>Realizado!C17-'Cenário Moderado'!C27</f>
        <v/>
      </c>
      <c r="D10" s="52">
        <f>Realizado!D17-'Cenário Moderado'!D27</f>
        <v/>
      </c>
      <c r="E10" s="52">
        <f>Realizado!E17-'Cenário Moderado'!E27</f>
        <v/>
      </c>
      <c r="F10" s="52">
        <f>Realizado!F17-'Cenário Moderado'!F27</f>
        <v/>
      </c>
      <c r="G10" s="52">
        <f>Realizado!G17-'Cenário Moderado'!G27</f>
        <v/>
      </c>
      <c r="H10" s="52">
        <f>Realizado!H17-'Cenário Moderado'!H27</f>
        <v/>
      </c>
      <c r="I10" s="52">
        <f>Realizado!I17-'Cenário Moderado'!I27</f>
        <v/>
      </c>
      <c r="J10" s="52">
        <f>Realizado!J17-'Cenário Moderado'!J27</f>
        <v/>
      </c>
      <c r="K10" s="52">
        <f>Realizado!K17-'Cenário Moderado'!K27</f>
        <v/>
      </c>
      <c r="L10" s="52">
        <f>Realizado!L17-'Cenário Moderado'!L27</f>
        <v/>
      </c>
      <c r="M10" s="52">
        <f>Realizado!M17-'Cenário Moderado'!M27</f>
        <v/>
      </c>
      <c r="N10" s="52">
        <f>Realizado!N17-'Cenário Moderado'!N27</f>
        <v/>
      </c>
      <c r="O10" s="52">
        <f>Realizado!O17-'Cenário Moderado'!O27</f>
        <v/>
      </c>
      <c r="P10" s="52">
        <f>Realizado!P17-'Cenário Moderado'!P27</f>
        <v/>
      </c>
      <c r="Q10" s="52">
        <f>Realizado!Q17-'Cenário Moderado'!Q27</f>
        <v/>
      </c>
      <c r="R10" s="52">
        <f>Realizado!R17-'Cenário Moderado'!R27</f>
        <v/>
      </c>
      <c r="S10" s="52">
        <f>Realizado!S17-'Cenário Moderado'!S27</f>
        <v/>
      </c>
    </row>
    <row r="11">
      <c r="A11" t="inlineStr">
        <is>
          <t>Vale-transporte / benefícios</t>
        </is>
      </c>
      <c r="B11" s="52">
        <f>Realizado!B18-'Cenário Moderado'!B28</f>
        <v/>
      </c>
      <c r="C11" s="52">
        <f>Realizado!C18-'Cenário Moderado'!C28</f>
        <v/>
      </c>
      <c r="D11" s="52">
        <f>Realizado!D18-'Cenário Moderado'!D28</f>
        <v/>
      </c>
      <c r="E11" s="52">
        <f>Realizado!E18-'Cenário Moderado'!E28</f>
        <v/>
      </c>
      <c r="F11" s="52">
        <f>Realizado!F18-'Cenário Moderado'!F28</f>
        <v/>
      </c>
      <c r="G11" s="52">
        <f>Realizado!G18-'Cenário Moderado'!G28</f>
        <v/>
      </c>
      <c r="H11" s="52">
        <f>Realizado!H18-'Cenário Moderado'!H28</f>
        <v/>
      </c>
      <c r="I11" s="52">
        <f>Realizado!I18-'Cenário Moderado'!I28</f>
        <v/>
      </c>
      <c r="J11" s="52">
        <f>Realizado!J18-'Cenário Moderado'!J28</f>
        <v/>
      </c>
      <c r="K11" s="52">
        <f>Realizado!K18-'Cenário Moderado'!K28</f>
        <v/>
      </c>
      <c r="L11" s="52">
        <f>Realizado!L18-'Cenário Moderado'!L28</f>
        <v/>
      </c>
      <c r="M11" s="52">
        <f>Realizado!M18-'Cenário Moderado'!M28</f>
        <v/>
      </c>
      <c r="N11" s="52">
        <f>Realizado!N18-'Cenário Moderado'!N28</f>
        <v/>
      </c>
      <c r="O11" s="52">
        <f>Realizado!O18-'Cenário Moderado'!O28</f>
        <v/>
      </c>
      <c r="P11" s="52">
        <f>Realizado!P18-'Cenário Moderado'!P28</f>
        <v/>
      </c>
      <c r="Q11" s="52">
        <f>Realizado!Q18-'Cenário Moderado'!Q28</f>
        <v/>
      </c>
      <c r="R11" s="52">
        <f>Realizado!R18-'Cenário Moderado'!R28</f>
        <v/>
      </c>
      <c r="S11" s="52">
        <f>Realizado!S18-'Cenário Moderado'!S28</f>
        <v/>
      </c>
    </row>
    <row r="12">
      <c r="A12" t="inlineStr">
        <is>
          <t>13º e férias</t>
        </is>
      </c>
      <c r="B12" s="52">
        <f>Realizado!B19-'Cenário Moderado'!B29</f>
        <v/>
      </c>
      <c r="C12" s="52">
        <f>Realizado!C19-'Cenário Moderado'!C29</f>
        <v/>
      </c>
      <c r="D12" s="52">
        <f>Realizado!D19-'Cenário Moderado'!D29</f>
        <v/>
      </c>
      <c r="E12" s="52">
        <f>Realizado!E19-'Cenário Moderado'!E29</f>
        <v/>
      </c>
      <c r="F12" s="52">
        <f>Realizado!F19-'Cenário Moderado'!F29</f>
        <v/>
      </c>
      <c r="G12" s="52">
        <f>Realizado!G19-'Cenário Moderado'!G29</f>
        <v/>
      </c>
      <c r="H12" s="52">
        <f>Realizado!H19-'Cenário Moderado'!H29</f>
        <v/>
      </c>
      <c r="I12" s="52">
        <f>Realizado!I19-'Cenário Moderado'!I29</f>
        <v/>
      </c>
      <c r="J12" s="52">
        <f>Realizado!J19-'Cenário Moderado'!J29</f>
        <v/>
      </c>
      <c r="K12" s="52">
        <f>Realizado!K19-'Cenário Moderado'!K29</f>
        <v/>
      </c>
      <c r="L12" s="52">
        <f>Realizado!L19-'Cenário Moderado'!L29</f>
        <v/>
      </c>
      <c r="M12" s="52">
        <f>Realizado!M19-'Cenário Moderado'!M29</f>
        <v/>
      </c>
      <c r="N12" s="52">
        <f>Realizado!N19-'Cenário Moderado'!N29</f>
        <v/>
      </c>
      <c r="O12" s="52">
        <f>Realizado!O19-'Cenário Moderado'!O29</f>
        <v/>
      </c>
      <c r="P12" s="52">
        <f>Realizado!P19-'Cenário Moderado'!P29</f>
        <v/>
      </c>
      <c r="Q12" s="52">
        <f>Realizado!Q19-'Cenário Moderado'!Q29</f>
        <v/>
      </c>
      <c r="R12" s="52">
        <f>Realizado!R19-'Cenário Moderado'!R29</f>
        <v/>
      </c>
      <c r="S12" s="52">
        <f>Realizado!S19-'Cenário Moderado'!S29</f>
        <v/>
      </c>
    </row>
    <row r="13">
      <c r="A13" t="inlineStr">
        <is>
          <t>Professores</t>
        </is>
      </c>
      <c r="B13" s="52">
        <f>Realizado!B20-'Cenário Moderado'!B30</f>
        <v/>
      </c>
      <c r="C13" s="52">
        <f>Realizado!C20-'Cenário Moderado'!C30</f>
        <v/>
      </c>
      <c r="D13" s="52">
        <f>Realizado!D20-'Cenário Moderado'!D30</f>
        <v/>
      </c>
      <c r="E13" s="52">
        <f>Realizado!E20-'Cenário Moderado'!E30</f>
        <v/>
      </c>
      <c r="F13" s="52">
        <f>Realizado!F20-'Cenário Moderado'!F30</f>
        <v/>
      </c>
      <c r="G13" s="52">
        <f>Realizado!G20-'Cenário Moderado'!G30</f>
        <v/>
      </c>
      <c r="H13" s="52">
        <f>Realizado!H20-'Cenário Moderado'!H30</f>
        <v/>
      </c>
      <c r="I13" s="52">
        <f>Realizado!I20-'Cenário Moderado'!I30</f>
        <v/>
      </c>
      <c r="J13" s="52">
        <f>Realizado!J20-'Cenário Moderado'!J30</f>
        <v/>
      </c>
      <c r="K13" s="52">
        <f>Realizado!K20-'Cenário Moderado'!K30</f>
        <v/>
      </c>
      <c r="L13" s="52">
        <f>Realizado!L20-'Cenário Moderado'!L30</f>
        <v/>
      </c>
      <c r="M13" s="52">
        <f>Realizado!M20-'Cenário Moderado'!M30</f>
        <v/>
      </c>
      <c r="N13" s="52">
        <f>Realizado!N20-'Cenário Moderado'!N30</f>
        <v/>
      </c>
      <c r="O13" s="52">
        <f>Realizado!O20-'Cenário Moderado'!O30</f>
        <v/>
      </c>
      <c r="P13" s="52">
        <f>Realizado!P20-'Cenário Moderado'!P30</f>
        <v/>
      </c>
      <c r="Q13" s="52">
        <f>Realizado!Q20-'Cenário Moderado'!Q30</f>
        <v/>
      </c>
      <c r="R13" s="52">
        <f>Realizado!R20-'Cenário Moderado'!R30</f>
        <v/>
      </c>
      <c r="S13" s="52">
        <f>Realizado!S20-'Cenário Moderado'!S30</f>
        <v/>
      </c>
    </row>
    <row r="14">
      <c r="A14" t="inlineStr">
        <is>
          <t>Aluguel do espaço</t>
        </is>
      </c>
      <c r="B14" s="52">
        <f>Realizado!B21-'Cenário Moderado'!B31</f>
        <v/>
      </c>
      <c r="C14" s="52">
        <f>Realizado!C21-'Cenário Moderado'!C31</f>
        <v/>
      </c>
      <c r="D14" s="52">
        <f>Realizado!D21-'Cenário Moderado'!D31</f>
        <v/>
      </c>
      <c r="E14" s="52">
        <f>Realizado!E21-'Cenário Moderado'!E31</f>
        <v/>
      </c>
      <c r="F14" s="52">
        <f>Realizado!F21-'Cenário Moderado'!F31</f>
        <v/>
      </c>
      <c r="G14" s="52">
        <f>Realizado!G21-'Cenário Moderado'!G31</f>
        <v/>
      </c>
      <c r="H14" s="52">
        <f>Realizado!H21-'Cenário Moderado'!H31</f>
        <v/>
      </c>
      <c r="I14" s="52">
        <f>Realizado!I21-'Cenário Moderado'!I31</f>
        <v/>
      </c>
      <c r="J14" s="52">
        <f>Realizado!J21-'Cenário Moderado'!J31</f>
        <v/>
      </c>
      <c r="K14" s="52">
        <f>Realizado!K21-'Cenário Moderado'!K31</f>
        <v/>
      </c>
      <c r="L14" s="52">
        <f>Realizado!L21-'Cenário Moderado'!L31</f>
        <v/>
      </c>
      <c r="M14" s="52">
        <f>Realizado!M21-'Cenário Moderado'!M31</f>
        <v/>
      </c>
      <c r="N14" s="52">
        <f>Realizado!N21-'Cenário Moderado'!N31</f>
        <v/>
      </c>
      <c r="O14" s="52">
        <f>Realizado!O21-'Cenário Moderado'!O31</f>
        <v/>
      </c>
      <c r="P14" s="52">
        <f>Realizado!P21-'Cenário Moderado'!P31</f>
        <v/>
      </c>
      <c r="Q14" s="52">
        <f>Realizado!Q21-'Cenário Moderado'!Q31</f>
        <v/>
      </c>
      <c r="R14" s="52">
        <f>Realizado!R21-'Cenário Moderado'!R31</f>
        <v/>
      </c>
      <c r="S14" s="52">
        <f>Realizado!S21-'Cenário Moderado'!S31</f>
        <v/>
      </c>
    </row>
    <row r="15">
      <c r="A15" t="inlineStr">
        <is>
          <t>Água</t>
        </is>
      </c>
      <c r="B15" s="52">
        <f>Realizado!B22-'Cenário Moderado'!B32</f>
        <v/>
      </c>
      <c r="C15" s="52">
        <f>Realizado!C22-'Cenário Moderado'!C32</f>
        <v/>
      </c>
      <c r="D15" s="52">
        <f>Realizado!D22-'Cenário Moderado'!D32</f>
        <v/>
      </c>
      <c r="E15" s="52">
        <f>Realizado!E22-'Cenário Moderado'!E32</f>
        <v/>
      </c>
      <c r="F15" s="52">
        <f>Realizado!F22-'Cenário Moderado'!F32</f>
        <v/>
      </c>
      <c r="G15" s="52">
        <f>Realizado!G22-'Cenário Moderado'!G32</f>
        <v/>
      </c>
      <c r="H15" s="52">
        <f>Realizado!H22-'Cenário Moderado'!H32</f>
        <v/>
      </c>
      <c r="I15" s="52">
        <f>Realizado!I22-'Cenário Moderado'!I32</f>
        <v/>
      </c>
      <c r="J15" s="52">
        <f>Realizado!J22-'Cenário Moderado'!J32</f>
        <v/>
      </c>
      <c r="K15" s="52">
        <f>Realizado!K22-'Cenário Moderado'!K32</f>
        <v/>
      </c>
      <c r="L15" s="52">
        <f>Realizado!L22-'Cenário Moderado'!L32</f>
        <v/>
      </c>
      <c r="M15" s="52">
        <f>Realizado!M22-'Cenário Moderado'!M32</f>
        <v/>
      </c>
      <c r="N15" s="52">
        <f>Realizado!N22-'Cenário Moderado'!N32</f>
        <v/>
      </c>
      <c r="O15" s="52">
        <f>Realizado!O22-'Cenário Moderado'!O32</f>
        <v/>
      </c>
      <c r="P15" s="52">
        <f>Realizado!P22-'Cenário Moderado'!P32</f>
        <v/>
      </c>
      <c r="Q15" s="52">
        <f>Realizado!Q22-'Cenário Moderado'!Q32</f>
        <v/>
      </c>
      <c r="R15" s="52">
        <f>Realizado!R22-'Cenário Moderado'!R32</f>
        <v/>
      </c>
      <c r="S15" s="52">
        <f>Realizado!S22-'Cenário Moderado'!S32</f>
        <v/>
      </c>
    </row>
    <row r="16">
      <c r="A16" t="inlineStr">
        <is>
          <t>Luz</t>
        </is>
      </c>
      <c r="B16" s="52">
        <f>Realizado!B23-'Cenário Moderado'!B33</f>
        <v/>
      </c>
      <c r="C16" s="52">
        <f>Realizado!C23-'Cenário Moderado'!C33</f>
        <v/>
      </c>
      <c r="D16" s="52">
        <f>Realizado!D23-'Cenário Moderado'!D33</f>
        <v/>
      </c>
      <c r="E16" s="52">
        <f>Realizado!E23-'Cenário Moderado'!E33</f>
        <v/>
      </c>
      <c r="F16" s="52">
        <f>Realizado!F23-'Cenário Moderado'!F33</f>
        <v/>
      </c>
      <c r="G16" s="52">
        <f>Realizado!G23-'Cenário Moderado'!G33</f>
        <v/>
      </c>
      <c r="H16" s="52">
        <f>Realizado!H23-'Cenário Moderado'!H33</f>
        <v/>
      </c>
      <c r="I16" s="52">
        <f>Realizado!I23-'Cenário Moderado'!I33</f>
        <v/>
      </c>
      <c r="J16" s="52">
        <f>Realizado!J23-'Cenário Moderado'!J33</f>
        <v/>
      </c>
      <c r="K16" s="52">
        <f>Realizado!K23-'Cenário Moderado'!K33</f>
        <v/>
      </c>
      <c r="L16" s="52">
        <f>Realizado!L23-'Cenário Moderado'!L33</f>
        <v/>
      </c>
      <c r="M16" s="52">
        <f>Realizado!M23-'Cenário Moderado'!M33</f>
        <v/>
      </c>
      <c r="N16" s="52">
        <f>Realizado!N23-'Cenário Moderado'!N33</f>
        <v/>
      </c>
      <c r="O16" s="52">
        <f>Realizado!O23-'Cenário Moderado'!O33</f>
        <v/>
      </c>
      <c r="P16" s="52">
        <f>Realizado!P23-'Cenário Moderado'!P33</f>
        <v/>
      </c>
      <c r="Q16" s="52">
        <f>Realizado!Q23-'Cenário Moderado'!Q33</f>
        <v/>
      </c>
      <c r="R16" s="52">
        <f>Realizado!R23-'Cenário Moderado'!R33</f>
        <v/>
      </c>
      <c r="S16" s="52">
        <f>Realizado!S23-'Cenário Moderado'!S33</f>
        <v/>
      </c>
    </row>
    <row r="17">
      <c r="A17" t="inlineStr">
        <is>
          <t>Telefone</t>
        </is>
      </c>
      <c r="B17" s="52">
        <f>Realizado!B24-'Cenário Moderado'!B34</f>
        <v/>
      </c>
      <c r="C17" s="52">
        <f>Realizado!C24-'Cenário Moderado'!C34</f>
        <v/>
      </c>
      <c r="D17" s="52">
        <f>Realizado!D24-'Cenário Moderado'!D34</f>
        <v/>
      </c>
      <c r="E17" s="52">
        <f>Realizado!E24-'Cenário Moderado'!E34</f>
        <v/>
      </c>
      <c r="F17" s="52">
        <f>Realizado!F24-'Cenário Moderado'!F34</f>
        <v/>
      </c>
      <c r="G17" s="52">
        <f>Realizado!G24-'Cenário Moderado'!G34</f>
        <v/>
      </c>
      <c r="H17" s="52">
        <f>Realizado!H24-'Cenário Moderado'!H34</f>
        <v/>
      </c>
      <c r="I17" s="52">
        <f>Realizado!I24-'Cenário Moderado'!I34</f>
        <v/>
      </c>
      <c r="J17" s="52">
        <f>Realizado!J24-'Cenário Moderado'!J34</f>
        <v/>
      </c>
      <c r="K17" s="52">
        <f>Realizado!K24-'Cenário Moderado'!K34</f>
        <v/>
      </c>
      <c r="L17" s="52">
        <f>Realizado!L24-'Cenário Moderado'!L34</f>
        <v/>
      </c>
      <c r="M17" s="52">
        <f>Realizado!M24-'Cenário Moderado'!M34</f>
        <v/>
      </c>
      <c r="N17" s="52">
        <f>Realizado!N24-'Cenário Moderado'!N34</f>
        <v/>
      </c>
      <c r="O17" s="52">
        <f>Realizado!O24-'Cenário Moderado'!O34</f>
        <v/>
      </c>
      <c r="P17" s="52">
        <f>Realizado!P24-'Cenário Moderado'!P34</f>
        <v/>
      </c>
      <c r="Q17" s="52">
        <f>Realizado!Q24-'Cenário Moderado'!Q34</f>
        <v/>
      </c>
      <c r="R17" s="52">
        <f>Realizado!R24-'Cenário Moderado'!R34</f>
        <v/>
      </c>
      <c r="S17" s="52">
        <f>Realizado!S24-'Cenário Moderado'!S34</f>
        <v/>
      </c>
    </row>
    <row r="18">
      <c r="A18" t="inlineStr">
        <is>
          <t>Internet</t>
        </is>
      </c>
      <c r="B18" s="52">
        <f>Realizado!B25-'Cenário Moderado'!B35</f>
        <v/>
      </c>
      <c r="C18" s="52">
        <f>Realizado!C25-'Cenário Moderado'!C35</f>
        <v/>
      </c>
      <c r="D18" s="52">
        <f>Realizado!D25-'Cenário Moderado'!D35</f>
        <v/>
      </c>
      <c r="E18" s="52">
        <f>Realizado!E25-'Cenário Moderado'!E35</f>
        <v/>
      </c>
      <c r="F18" s="52">
        <f>Realizado!F25-'Cenário Moderado'!F35</f>
        <v/>
      </c>
      <c r="G18" s="52">
        <f>Realizado!G25-'Cenário Moderado'!G35</f>
        <v/>
      </c>
      <c r="H18" s="52">
        <f>Realizado!H25-'Cenário Moderado'!H35</f>
        <v/>
      </c>
      <c r="I18" s="52">
        <f>Realizado!I25-'Cenário Moderado'!I35</f>
        <v/>
      </c>
      <c r="J18" s="52">
        <f>Realizado!J25-'Cenário Moderado'!J35</f>
        <v/>
      </c>
      <c r="K18" s="52">
        <f>Realizado!K25-'Cenário Moderado'!K35</f>
        <v/>
      </c>
      <c r="L18" s="52">
        <f>Realizado!L25-'Cenário Moderado'!L35</f>
        <v/>
      </c>
      <c r="M18" s="52">
        <f>Realizado!M25-'Cenário Moderado'!M35</f>
        <v/>
      </c>
      <c r="N18" s="52">
        <f>Realizado!N25-'Cenário Moderado'!N35</f>
        <v/>
      </c>
      <c r="O18" s="52">
        <f>Realizado!O25-'Cenário Moderado'!O35</f>
        <v/>
      </c>
      <c r="P18" s="52">
        <f>Realizado!P25-'Cenário Moderado'!P35</f>
        <v/>
      </c>
      <c r="Q18" s="52">
        <f>Realizado!Q25-'Cenário Moderado'!Q35</f>
        <v/>
      </c>
      <c r="R18" s="52">
        <f>Realizado!R25-'Cenário Moderado'!R35</f>
        <v/>
      </c>
      <c r="S18" s="52">
        <f>Realizado!S25-'Cenário Moderado'!S35</f>
        <v/>
      </c>
    </row>
    <row r="19">
      <c r="A19" t="inlineStr">
        <is>
          <t>Sistema de gestão DiscoverON</t>
        </is>
      </c>
      <c r="B19" s="52">
        <f>Realizado!B26-'Cenário Moderado'!B36</f>
        <v/>
      </c>
      <c r="C19" s="52">
        <f>Realizado!C26-'Cenário Moderado'!C36</f>
        <v/>
      </c>
      <c r="D19" s="52">
        <f>Realizado!D26-'Cenário Moderado'!D36</f>
        <v/>
      </c>
      <c r="E19" s="52">
        <f>Realizado!E26-'Cenário Moderado'!E36</f>
        <v/>
      </c>
      <c r="F19" s="52">
        <f>Realizado!F26-'Cenário Moderado'!F36</f>
        <v/>
      </c>
      <c r="G19" s="52">
        <f>Realizado!G26-'Cenário Moderado'!G36</f>
        <v/>
      </c>
      <c r="H19" s="52">
        <f>Realizado!H26-'Cenário Moderado'!H36</f>
        <v/>
      </c>
      <c r="I19" s="52">
        <f>Realizado!I26-'Cenário Moderado'!I36</f>
        <v/>
      </c>
      <c r="J19" s="52">
        <f>Realizado!J26-'Cenário Moderado'!J36</f>
        <v/>
      </c>
      <c r="K19" s="52">
        <f>Realizado!K26-'Cenário Moderado'!K36</f>
        <v/>
      </c>
      <c r="L19" s="52">
        <f>Realizado!L26-'Cenário Moderado'!L36</f>
        <v/>
      </c>
      <c r="M19" s="52">
        <f>Realizado!M26-'Cenário Moderado'!M36</f>
        <v/>
      </c>
      <c r="N19" s="52">
        <f>Realizado!N26-'Cenário Moderado'!N36</f>
        <v/>
      </c>
      <c r="O19" s="52">
        <f>Realizado!O26-'Cenário Moderado'!O36</f>
        <v/>
      </c>
      <c r="P19" s="52">
        <f>Realizado!P26-'Cenário Moderado'!P36</f>
        <v/>
      </c>
      <c r="Q19" s="52">
        <f>Realizado!Q26-'Cenário Moderado'!Q36</f>
        <v/>
      </c>
      <c r="R19" s="52">
        <f>Realizado!R26-'Cenário Moderado'!R36</f>
        <v/>
      </c>
      <c r="S19" s="52">
        <f>Realizado!S26-'Cenário Moderado'!S36</f>
        <v/>
      </c>
    </row>
    <row r="20">
      <c r="A20" t="inlineStr">
        <is>
          <t>Itens para aula</t>
        </is>
      </c>
      <c r="B20" s="52">
        <f>Realizado!B27-'Cenário Moderado'!B37</f>
        <v/>
      </c>
      <c r="C20" s="52">
        <f>Realizado!C27-'Cenário Moderado'!C37</f>
        <v/>
      </c>
      <c r="D20" s="52">
        <f>Realizado!D27-'Cenário Moderado'!D37</f>
        <v/>
      </c>
      <c r="E20" s="52">
        <f>Realizado!E27-'Cenário Moderado'!E37</f>
        <v/>
      </c>
      <c r="F20" s="52">
        <f>Realizado!F27-'Cenário Moderado'!F37</f>
        <v/>
      </c>
      <c r="G20" s="52">
        <f>Realizado!G27-'Cenário Moderado'!G37</f>
        <v/>
      </c>
      <c r="H20" s="52">
        <f>Realizado!H27-'Cenário Moderado'!H37</f>
        <v/>
      </c>
      <c r="I20" s="52">
        <f>Realizado!I27-'Cenário Moderado'!I37</f>
        <v/>
      </c>
      <c r="J20" s="52">
        <f>Realizado!J27-'Cenário Moderado'!J37</f>
        <v/>
      </c>
      <c r="K20" s="52">
        <f>Realizado!K27-'Cenário Moderado'!K37</f>
        <v/>
      </c>
      <c r="L20" s="52">
        <f>Realizado!L27-'Cenário Moderado'!L37</f>
        <v/>
      </c>
      <c r="M20" s="52">
        <f>Realizado!M27-'Cenário Moderado'!M37</f>
        <v/>
      </c>
      <c r="N20" s="52">
        <f>Realizado!N27-'Cenário Moderado'!N37</f>
        <v/>
      </c>
      <c r="O20" s="52">
        <f>Realizado!O27-'Cenário Moderado'!O37</f>
        <v/>
      </c>
      <c r="P20" s="52">
        <f>Realizado!P27-'Cenário Moderado'!P37</f>
        <v/>
      </c>
      <c r="Q20" s="52">
        <f>Realizado!Q27-'Cenário Moderado'!Q37</f>
        <v/>
      </c>
      <c r="R20" s="52">
        <f>Realizado!R27-'Cenário Moderado'!R37</f>
        <v/>
      </c>
      <c r="S20" s="52">
        <f>Realizado!S27-'Cenário Moderado'!S37</f>
        <v/>
      </c>
    </row>
    <row r="21">
      <c r="A21" t="inlineStr">
        <is>
          <t>Materiais de limpeza + higiene</t>
        </is>
      </c>
      <c r="B21" s="52">
        <f>Realizado!B28-'Cenário Moderado'!B38</f>
        <v/>
      </c>
      <c r="C21" s="52">
        <f>Realizado!C28-'Cenário Moderado'!C38</f>
        <v/>
      </c>
      <c r="D21" s="52">
        <f>Realizado!D28-'Cenário Moderado'!D38</f>
        <v/>
      </c>
      <c r="E21" s="52">
        <f>Realizado!E28-'Cenário Moderado'!E38</f>
        <v/>
      </c>
      <c r="F21" s="52">
        <f>Realizado!F28-'Cenário Moderado'!F38</f>
        <v/>
      </c>
      <c r="G21" s="52">
        <f>Realizado!G28-'Cenário Moderado'!G38</f>
        <v/>
      </c>
      <c r="H21" s="52">
        <f>Realizado!H28-'Cenário Moderado'!H38</f>
        <v/>
      </c>
      <c r="I21" s="52">
        <f>Realizado!I28-'Cenário Moderado'!I38</f>
        <v/>
      </c>
      <c r="J21" s="52">
        <f>Realizado!J28-'Cenário Moderado'!J38</f>
        <v/>
      </c>
      <c r="K21" s="52">
        <f>Realizado!K28-'Cenário Moderado'!K38</f>
        <v/>
      </c>
      <c r="L21" s="52">
        <f>Realizado!L28-'Cenário Moderado'!L38</f>
        <v/>
      </c>
      <c r="M21" s="52">
        <f>Realizado!M28-'Cenário Moderado'!M38</f>
        <v/>
      </c>
      <c r="N21" s="52">
        <f>Realizado!N28-'Cenário Moderado'!N38</f>
        <v/>
      </c>
      <c r="O21" s="52">
        <f>Realizado!O28-'Cenário Moderado'!O38</f>
        <v/>
      </c>
      <c r="P21" s="52">
        <f>Realizado!P28-'Cenário Moderado'!P38</f>
        <v/>
      </c>
      <c r="Q21" s="52">
        <f>Realizado!Q28-'Cenário Moderado'!Q38</f>
        <v/>
      </c>
      <c r="R21" s="52">
        <f>Realizado!R28-'Cenário Moderado'!R38</f>
        <v/>
      </c>
      <c r="S21" s="52">
        <f>Realizado!S28-'Cenário Moderado'!S38</f>
        <v/>
      </c>
    </row>
    <row r="22">
      <c r="A22" t="inlineStr">
        <is>
          <t>Brindes</t>
        </is>
      </c>
      <c r="B22" s="52">
        <f>Realizado!B29-'Cenário Moderado'!B39</f>
        <v/>
      </c>
      <c r="C22" s="52">
        <f>Realizado!C29-'Cenário Moderado'!C39</f>
        <v/>
      </c>
      <c r="D22" s="52">
        <f>Realizado!D29-'Cenário Moderado'!D39</f>
        <v/>
      </c>
      <c r="E22" s="52">
        <f>Realizado!E29-'Cenário Moderado'!E39</f>
        <v/>
      </c>
      <c r="F22" s="52">
        <f>Realizado!F29-'Cenário Moderado'!F39</f>
        <v/>
      </c>
      <c r="G22" s="52">
        <f>Realizado!G29-'Cenário Moderado'!G39</f>
        <v/>
      </c>
      <c r="H22" s="52">
        <f>Realizado!H29-'Cenário Moderado'!H39</f>
        <v/>
      </c>
      <c r="I22" s="52">
        <f>Realizado!I29-'Cenário Moderado'!I39</f>
        <v/>
      </c>
      <c r="J22" s="52">
        <f>Realizado!J29-'Cenário Moderado'!J39</f>
        <v/>
      </c>
      <c r="K22" s="52">
        <f>Realizado!K29-'Cenário Moderado'!K39</f>
        <v/>
      </c>
      <c r="L22" s="52">
        <f>Realizado!L29-'Cenário Moderado'!L39</f>
        <v/>
      </c>
      <c r="M22" s="52">
        <f>Realizado!M29-'Cenário Moderado'!M39</f>
        <v/>
      </c>
      <c r="N22" s="52">
        <f>Realizado!N29-'Cenário Moderado'!N39</f>
        <v/>
      </c>
      <c r="O22" s="52">
        <f>Realizado!O29-'Cenário Moderado'!O39</f>
        <v/>
      </c>
      <c r="P22" s="52">
        <f>Realizado!P29-'Cenário Moderado'!P39</f>
        <v/>
      </c>
      <c r="Q22" s="52">
        <f>Realizado!Q29-'Cenário Moderado'!Q39</f>
        <v/>
      </c>
      <c r="R22" s="52">
        <f>Realizado!R29-'Cenário Moderado'!R39</f>
        <v/>
      </c>
      <c r="S22" s="52">
        <f>Realizado!S29-'Cenário Moderado'!S39</f>
        <v/>
      </c>
    </row>
    <row r="23">
      <c r="A23" t="inlineStr">
        <is>
          <t>Marketing</t>
        </is>
      </c>
      <c r="B23" s="52">
        <f>Realizado!B30-'Cenário Moderado'!B40</f>
        <v/>
      </c>
      <c r="C23" s="52">
        <f>Realizado!C30-'Cenário Moderado'!C40</f>
        <v/>
      </c>
      <c r="D23" s="52">
        <f>Realizado!D30-'Cenário Moderado'!D40</f>
        <v/>
      </c>
      <c r="E23" s="52">
        <f>Realizado!E30-'Cenário Moderado'!E40</f>
        <v/>
      </c>
      <c r="F23" s="52">
        <f>Realizado!F30-'Cenário Moderado'!F40</f>
        <v/>
      </c>
      <c r="G23" s="52">
        <f>Realizado!G30-'Cenário Moderado'!G40</f>
        <v/>
      </c>
      <c r="H23" s="52">
        <f>Realizado!H30-'Cenário Moderado'!H40</f>
        <v/>
      </c>
      <c r="I23" s="52">
        <f>Realizado!I30-'Cenário Moderado'!I40</f>
        <v/>
      </c>
      <c r="J23" s="52">
        <f>Realizado!J30-'Cenário Moderado'!J40</f>
        <v/>
      </c>
      <c r="K23" s="52">
        <f>Realizado!K30-'Cenário Moderado'!K40</f>
        <v/>
      </c>
      <c r="L23" s="52">
        <f>Realizado!L30-'Cenário Moderado'!L40</f>
        <v/>
      </c>
      <c r="M23" s="52">
        <f>Realizado!M30-'Cenário Moderado'!M40</f>
        <v/>
      </c>
      <c r="N23" s="52">
        <f>Realizado!N30-'Cenário Moderado'!N40</f>
        <v/>
      </c>
      <c r="O23" s="52">
        <f>Realizado!O30-'Cenário Moderado'!O40</f>
        <v/>
      </c>
      <c r="P23" s="52">
        <f>Realizado!P30-'Cenário Moderado'!P40</f>
        <v/>
      </c>
      <c r="Q23" s="52">
        <f>Realizado!Q30-'Cenário Moderado'!Q40</f>
        <v/>
      </c>
      <c r="R23" s="52">
        <f>Realizado!R30-'Cenário Moderado'!R40</f>
        <v/>
      </c>
      <c r="S23" s="52">
        <f>Realizado!S30-'Cenário Moderado'!S40</f>
        <v/>
      </c>
    </row>
    <row r="24">
      <c r="A24" t="inlineStr">
        <is>
          <t>Aluguel dos computadores</t>
        </is>
      </c>
      <c r="B24" s="52">
        <f>Realizado!B31-'Cenário Moderado'!B41</f>
        <v/>
      </c>
      <c r="C24" s="52">
        <f>Realizado!C31-'Cenário Moderado'!C41</f>
        <v/>
      </c>
      <c r="D24" s="52">
        <f>Realizado!D31-'Cenário Moderado'!D41</f>
        <v/>
      </c>
      <c r="E24" s="52">
        <f>Realizado!E31-'Cenário Moderado'!E41</f>
        <v/>
      </c>
      <c r="F24" s="52">
        <f>Realizado!F31-'Cenário Moderado'!F41</f>
        <v/>
      </c>
      <c r="G24" s="52">
        <f>Realizado!G31-'Cenário Moderado'!G41</f>
        <v/>
      </c>
      <c r="H24" s="52">
        <f>Realizado!H31-'Cenário Moderado'!H41</f>
        <v/>
      </c>
      <c r="I24" s="52">
        <f>Realizado!I31-'Cenário Moderado'!I41</f>
        <v/>
      </c>
      <c r="J24" s="52">
        <f>Realizado!J31-'Cenário Moderado'!J41</f>
        <v/>
      </c>
      <c r="K24" s="52">
        <f>Realizado!K31-'Cenário Moderado'!K41</f>
        <v/>
      </c>
      <c r="L24" s="52">
        <f>Realizado!L31-'Cenário Moderado'!L41</f>
        <v/>
      </c>
      <c r="M24" s="52">
        <f>Realizado!M31-'Cenário Moderado'!M41</f>
        <v/>
      </c>
      <c r="N24" s="52">
        <f>Realizado!N31-'Cenário Moderado'!N41</f>
        <v/>
      </c>
      <c r="O24" s="52">
        <f>Realizado!O31-'Cenário Moderado'!O41</f>
        <v/>
      </c>
      <c r="P24" s="52">
        <f>Realizado!P31-'Cenário Moderado'!P41</f>
        <v/>
      </c>
      <c r="Q24" s="52">
        <f>Realizado!Q31-'Cenário Moderado'!Q41</f>
        <v/>
      </c>
      <c r="R24" s="52">
        <f>Realizado!R31-'Cenário Moderado'!R41</f>
        <v/>
      </c>
      <c r="S24" s="52">
        <f>Realizado!S31-'Cenário Moderado'!S41</f>
        <v/>
      </c>
    </row>
    <row r="25">
      <c r="A25" t="inlineStr">
        <is>
          <t>Seguro empresarial</t>
        </is>
      </c>
      <c r="B25" s="52">
        <f>Realizado!B32-'Cenário Moderado'!B42</f>
        <v/>
      </c>
      <c r="C25" s="52">
        <f>Realizado!C32-'Cenário Moderado'!C42</f>
        <v/>
      </c>
      <c r="D25" s="52">
        <f>Realizado!D32-'Cenário Moderado'!D42</f>
        <v/>
      </c>
      <c r="E25" s="52">
        <f>Realizado!E32-'Cenário Moderado'!E42</f>
        <v/>
      </c>
      <c r="F25" s="52">
        <f>Realizado!F32-'Cenário Moderado'!F42</f>
        <v/>
      </c>
      <c r="G25" s="52">
        <f>Realizado!G32-'Cenário Moderado'!G42</f>
        <v/>
      </c>
      <c r="H25" s="52">
        <f>Realizado!H32-'Cenário Moderado'!H42</f>
        <v/>
      </c>
      <c r="I25" s="52">
        <f>Realizado!I32-'Cenário Moderado'!I42</f>
        <v/>
      </c>
      <c r="J25" s="52">
        <f>Realizado!J32-'Cenário Moderado'!J42</f>
        <v/>
      </c>
      <c r="K25" s="52">
        <f>Realizado!K32-'Cenário Moderado'!K42</f>
        <v/>
      </c>
      <c r="L25" s="52">
        <f>Realizado!L32-'Cenário Moderado'!L42</f>
        <v/>
      </c>
      <c r="M25" s="52">
        <f>Realizado!M32-'Cenário Moderado'!M42</f>
        <v/>
      </c>
      <c r="N25" s="52">
        <f>Realizado!N32-'Cenário Moderado'!N42</f>
        <v/>
      </c>
      <c r="O25" s="52">
        <f>Realizado!O32-'Cenário Moderado'!O42</f>
        <v/>
      </c>
      <c r="P25" s="52">
        <f>Realizado!P32-'Cenário Moderado'!P42</f>
        <v/>
      </c>
      <c r="Q25" s="52">
        <f>Realizado!Q32-'Cenário Moderado'!Q42</f>
        <v/>
      </c>
      <c r="R25" s="52">
        <f>Realizado!R32-'Cenário Moderado'!R42</f>
        <v/>
      </c>
      <c r="S25" s="52">
        <f>Realizado!S32-'Cenário Moderado'!S42</f>
        <v/>
      </c>
    </row>
    <row r="26">
      <c r="A26" t="inlineStr">
        <is>
          <t>Taxas bancárias + gasolina</t>
        </is>
      </c>
      <c r="B26" s="52">
        <f>Realizado!B33-'Cenário Moderado'!B43</f>
        <v/>
      </c>
      <c r="C26" s="52">
        <f>Realizado!C33-'Cenário Moderado'!C43</f>
        <v/>
      </c>
      <c r="D26" s="52">
        <f>Realizado!D33-'Cenário Moderado'!D43</f>
        <v/>
      </c>
      <c r="E26" s="52">
        <f>Realizado!E33-'Cenário Moderado'!E43</f>
        <v/>
      </c>
      <c r="F26" s="52">
        <f>Realizado!F33-'Cenário Moderado'!F43</f>
        <v/>
      </c>
      <c r="G26" s="52">
        <f>Realizado!G33-'Cenário Moderado'!G43</f>
        <v/>
      </c>
      <c r="H26" s="52">
        <f>Realizado!H33-'Cenário Moderado'!H43</f>
        <v/>
      </c>
      <c r="I26" s="52">
        <f>Realizado!I33-'Cenário Moderado'!I43</f>
        <v/>
      </c>
      <c r="J26" s="52">
        <f>Realizado!J33-'Cenário Moderado'!J43</f>
        <v/>
      </c>
      <c r="K26" s="52">
        <f>Realizado!K33-'Cenário Moderado'!K43</f>
        <v/>
      </c>
      <c r="L26" s="52">
        <f>Realizado!L33-'Cenário Moderado'!L43</f>
        <v/>
      </c>
      <c r="M26" s="52">
        <f>Realizado!M33-'Cenário Moderado'!M43</f>
        <v/>
      </c>
      <c r="N26" s="52">
        <f>Realizado!N33-'Cenário Moderado'!N43</f>
        <v/>
      </c>
      <c r="O26" s="52">
        <f>Realizado!O33-'Cenário Moderado'!O43</f>
        <v/>
      </c>
      <c r="P26" s="52">
        <f>Realizado!P33-'Cenário Moderado'!P43</f>
        <v/>
      </c>
      <c r="Q26" s="52">
        <f>Realizado!Q33-'Cenário Moderado'!Q43</f>
        <v/>
      </c>
      <c r="R26" s="52">
        <f>Realizado!R33-'Cenário Moderado'!R43</f>
        <v/>
      </c>
      <c r="S26" s="52">
        <f>Realizado!S33-'Cenário Moderado'!S43</f>
        <v/>
      </c>
    </row>
    <row r="27">
      <c r="A27" t="inlineStr">
        <is>
          <t>Custos operacionais (contab., manut., licenças…)</t>
        </is>
      </c>
      <c r="B27" s="52">
        <f>Realizado!B34-'Cenário Moderado'!B44</f>
        <v/>
      </c>
      <c r="C27" s="52">
        <f>Realizado!C34-'Cenário Moderado'!C44</f>
        <v/>
      </c>
      <c r="D27" s="52">
        <f>Realizado!D34-'Cenário Moderado'!D44</f>
        <v/>
      </c>
      <c r="E27" s="52">
        <f>Realizado!E34-'Cenário Moderado'!E44</f>
        <v/>
      </c>
      <c r="F27" s="52">
        <f>Realizado!F34-'Cenário Moderado'!F44</f>
        <v/>
      </c>
      <c r="G27" s="52">
        <f>Realizado!G34-'Cenário Moderado'!G44</f>
        <v/>
      </c>
      <c r="H27" s="52">
        <f>Realizado!H34-'Cenário Moderado'!H44</f>
        <v/>
      </c>
      <c r="I27" s="52">
        <f>Realizado!I34-'Cenário Moderado'!I44</f>
        <v/>
      </c>
      <c r="J27" s="52">
        <f>Realizado!J34-'Cenário Moderado'!J44</f>
        <v/>
      </c>
      <c r="K27" s="52">
        <f>Realizado!K34-'Cenário Moderado'!K44</f>
        <v/>
      </c>
      <c r="L27" s="52">
        <f>Realizado!L34-'Cenário Moderado'!L44</f>
        <v/>
      </c>
      <c r="M27" s="52">
        <f>Realizado!M34-'Cenário Moderado'!M44</f>
        <v/>
      </c>
      <c r="N27" s="52">
        <f>Realizado!N34-'Cenário Moderado'!N44</f>
        <v/>
      </c>
      <c r="O27" s="52">
        <f>Realizado!O34-'Cenário Moderado'!O44</f>
        <v/>
      </c>
      <c r="P27" s="52">
        <f>Realizado!P34-'Cenário Moderado'!P44</f>
        <v/>
      </c>
      <c r="Q27" s="52">
        <f>Realizado!Q34-'Cenário Moderado'!Q44</f>
        <v/>
      </c>
      <c r="R27" s="52">
        <f>Realizado!R34-'Cenário Moderado'!R44</f>
        <v/>
      </c>
      <c r="S27" s="52">
        <f>Realizado!S34-'Cenário Moderado'!S44</f>
        <v/>
      </c>
    </row>
    <row r="28">
      <c r="A28" t="inlineStr">
        <is>
          <t>Pró-labore</t>
        </is>
      </c>
      <c r="B28" s="52">
        <f>Realizado!B35-'Cenário Moderado'!B45</f>
        <v/>
      </c>
      <c r="C28" s="52">
        <f>Realizado!C35-'Cenário Moderado'!C45</f>
        <v/>
      </c>
      <c r="D28" s="52">
        <f>Realizado!D35-'Cenário Moderado'!D45</f>
        <v/>
      </c>
      <c r="E28" s="52">
        <f>Realizado!E35-'Cenário Moderado'!E45</f>
        <v/>
      </c>
      <c r="F28" s="52">
        <f>Realizado!F35-'Cenário Moderado'!F45</f>
        <v/>
      </c>
      <c r="G28" s="52">
        <f>Realizado!G35-'Cenário Moderado'!G45</f>
        <v/>
      </c>
      <c r="H28" s="52">
        <f>Realizado!H35-'Cenário Moderado'!H45</f>
        <v/>
      </c>
      <c r="I28" s="52">
        <f>Realizado!I35-'Cenário Moderado'!I45</f>
        <v/>
      </c>
      <c r="J28" s="52">
        <f>Realizado!J35-'Cenário Moderado'!J45</f>
        <v/>
      </c>
      <c r="K28" s="52">
        <f>Realizado!K35-'Cenário Moderado'!K45</f>
        <v/>
      </c>
      <c r="L28" s="52">
        <f>Realizado!L35-'Cenário Moderado'!L45</f>
        <v/>
      </c>
      <c r="M28" s="52">
        <f>Realizado!M35-'Cenário Moderado'!M45</f>
        <v/>
      </c>
      <c r="N28" s="52">
        <f>Realizado!N35-'Cenário Moderado'!N45</f>
        <v/>
      </c>
      <c r="O28" s="52">
        <f>Realizado!O35-'Cenário Moderado'!O45</f>
        <v/>
      </c>
      <c r="P28" s="52">
        <f>Realizado!P35-'Cenário Moderado'!P45</f>
        <v/>
      </c>
      <c r="Q28" s="52">
        <f>Realizado!Q35-'Cenário Moderado'!Q45</f>
        <v/>
      </c>
      <c r="R28" s="52">
        <f>Realizado!R35-'Cenário Moderado'!R45</f>
        <v/>
      </c>
      <c r="S28" s="52">
        <f>Realizado!S35-'Cenário Moderado'!S45</f>
        <v/>
      </c>
    </row>
    <row r="29">
      <c r="A29" s="14" t="inlineStr">
        <is>
          <t>Total de despesas</t>
        </is>
      </c>
      <c r="B29" s="51">
        <f>Realizado!B37-'Cenário Moderado'!B46</f>
        <v/>
      </c>
      <c r="C29" s="51">
        <f>Realizado!C37-'Cenário Moderado'!C46</f>
        <v/>
      </c>
      <c r="D29" s="51">
        <f>Realizado!D37-'Cenário Moderado'!D46</f>
        <v/>
      </c>
      <c r="E29" s="51">
        <f>Realizado!E37-'Cenário Moderado'!E46</f>
        <v/>
      </c>
      <c r="F29" s="51">
        <f>Realizado!F37-'Cenário Moderado'!F46</f>
        <v/>
      </c>
      <c r="G29" s="51">
        <f>Realizado!G37-'Cenário Moderado'!G46</f>
        <v/>
      </c>
      <c r="H29" s="51">
        <f>Realizado!H37-'Cenário Moderado'!H46</f>
        <v/>
      </c>
      <c r="I29" s="51">
        <f>Realizado!I37-'Cenário Moderado'!I46</f>
        <v/>
      </c>
      <c r="J29" s="51">
        <f>Realizado!J37-'Cenário Moderado'!J46</f>
        <v/>
      </c>
      <c r="K29" s="51">
        <f>Realizado!K37-'Cenário Moderado'!K46</f>
        <v/>
      </c>
      <c r="L29" s="51">
        <f>Realizado!L37-'Cenário Moderado'!L46</f>
        <v/>
      </c>
      <c r="M29" s="51">
        <f>Realizado!M37-'Cenário Moderado'!M46</f>
        <v/>
      </c>
      <c r="N29" s="51">
        <f>Realizado!N37-'Cenário Moderado'!N46</f>
        <v/>
      </c>
      <c r="O29" s="51">
        <f>Realizado!O37-'Cenário Moderado'!O46</f>
        <v/>
      </c>
      <c r="P29" s="51">
        <f>Realizado!P37-'Cenário Moderado'!P46</f>
        <v/>
      </c>
      <c r="Q29" s="51">
        <f>Realizado!Q37-'Cenário Moderado'!Q46</f>
        <v/>
      </c>
      <c r="R29" s="51">
        <f>Realizado!R37-'Cenário Moderado'!R46</f>
        <v/>
      </c>
      <c r="S29" s="51">
        <f>Realizado!S37-'Cenário Moderado'!S46</f>
        <v/>
      </c>
    </row>
    <row r="31">
      <c r="A31" s="14" t="inlineStr">
        <is>
          <t>Resultado do mês</t>
        </is>
      </c>
      <c r="B31" s="51">
        <f>Realizado!B39-'Cenário Moderado'!B48</f>
        <v/>
      </c>
      <c r="C31" s="51">
        <f>Realizado!C39-'Cenário Moderado'!C48</f>
        <v/>
      </c>
      <c r="D31" s="51">
        <f>Realizado!D39-'Cenário Moderado'!D48</f>
        <v/>
      </c>
      <c r="E31" s="51">
        <f>Realizado!E39-'Cenário Moderado'!E48</f>
        <v/>
      </c>
      <c r="F31" s="51">
        <f>Realizado!F39-'Cenário Moderado'!F48</f>
        <v/>
      </c>
      <c r="G31" s="51">
        <f>Realizado!G39-'Cenário Moderado'!G48</f>
        <v/>
      </c>
      <c r="H31" s="51">
        <f>Realizado!H39-'Cenário Moderado'!H48</f>
        <v/>
      </c>
      <c r="I31" s="51">
        <f>Realizado!I39-'Cenário Moderado'!I48</f>
        <v/>
      </c>
      <c r="J31" s="51">
        <f>Realizado!J39-'Cenário Moderado'!J48</f>
        <v/>
      </c>
      <c r="K31" s="51">
        <f>Realizado!K39-'Cenário Moderado'!K48</f>
        <v/>
      </c>
      <c r="L31" s="51">
        <f>Realizado!L39-'Cenário Moderado'!L48</f>
        <v/>
      </c>
      <c r="M31" s="51">
        <f>Realizado!M39-'Cenário Moderado'!M48</f>
        <v/>
      </c>
      <c r="N31" s="51">
        <f>Realizado!N39-'Cenário Moderado'!N48</f>
        <v/>
      </c>
      <c r="O31" s="51">
        <f>Realizado!O39-'Cenário Moderado'!O48</f>
        <v/>
      </c>
      <c r="P31" s="51">
        <f>Realizado!P39-'Cenário Moderado'!P48</f>
        <v/>
      </c>
      <c r="Q31" s="51">
        <f>Realizado!Q39-'Cenário Moderado'!Q48</f>
        <v/>
      </c>
      <c r="R31" s="51">
        <f>Realizado!R39-'Cenário Moderado'!R48</f>
        <v/>
      </c>
      <c r="S31" s="51">
        <f>Realizado!S39-'Cenário Moderado'!S48</f>
        <v/>
      </c>
    </row>
    <row r="32">
      <c r="A32" s="14" t="inlineStr">
        <is>
          <t>Caixa acumulado</t>
        </is>
      </c>
      <c r="B32" s="51">
        <f>Realizado!B40-'Cenário Moderado'!B49</f>
        <v/>
      </c>
      <c r="C32" s="51">
        <f>Realizado!C40-'Cenário Moderado'!C49</f>
        <v/>
      </c>
      <c r="D32" s="51">
        <f>Realizado!D40-'Cenário Moderado'!D49</f>
        <v/>
      </c>
      <c r="E32" s="51">
        <f>Realizado!E40-'Cenário Moderado'!E49</f>
        <v/>
      </c>
      <c r="F32" s="51">
        <f>Realizado!F40-'Cenário Moderado'!F49</f>
        <v/>
      </c>
      <c r="G32" s="51">
        <f>Realizado!G40-'Cenário Moderado'!G49</f>
        <v/>
      </c>
      <c r="H32" s="51">
        <f>Realizado!H40-'Cenário Moderado'!H49</f>
        <v/>
      </c>
      <c r="I32" s="51">
        <f>Realizado!I40-'Cenário Moderado'!I49</f>
        <v/>
      </c>
      <c r="J32" s="51">
        <f>Realizado!J40-'Cenário Moderado'!J49</f>
        <v/>
      </c>
      <c r="K32" s="51">
        <f>Realizado!K40-'Cenário Moderado'!K49</f>
        <v/>
      </c>
      <c r="L32" s="51">
        <f>Realizado!L40-'Cenário Moderado'!L49</f>
        <v/>
      </c>
      <c r="M32" s="51">
        <f>Realizado!M40-'Cenário Moderado'!M49</f>
        <v/>
      </c>
      <c r="N32" s="51">
        <f>Realizado!N40-'Cenário Moderado'!N49</f>
        <v/>
      </c>
      <c r="O32" s="51">
        <f>Realizado!O40-'Cenário Moderado'!O49</f>
        <v/>
      </c>
      <c r="P32" s="51">
        <f>Realizado!P40-'Cenário Moderado'!P49</f>
        <v/>
      </c>
      <c r="Q32" s="51">
        <f>Realizado!Q40-'Cenário Moderado'!Q49</f>
        <v/>
      </c>
      <c r="R32" s="51">
        <f>Realizado!R40-'Cenário Moderado'!R49</f>
        <v/>
      </c>
      <c r="S32" s="51">
        <f>Realizado!S40-'Cenário Moderado'!S49</f>
        <v/>
      </c>
    </row>
    <row r="34">
      <c r="A34" s="7" t="inlineStr">
        <is>
          <t>🟩 verde = melhor que o plano · 🟥 vermelho = pior que o plano.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conditionalFormatting sqref="B2:S2">
    <cfRule type="cellIs" priority="1" operator="greaterThan" dxfId="2">
      <formula>0</formula>
    </cfRule>
    <cfRule type="cellIs" priority="2" operator="lessThan" dxfId="3">
      <formula>0</formula>
    </cfRule>
  </conditionalFormatting>
  <conditionalFormatting sqref="B3:S3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B5:S5">
    <cfRule type="cellIs" priority="5" operator="greaterThan" dxfId="2">
      <formula>0</formula>
    </cfRule>
    <cfRule type="cellIs" priority="6" operator="lessThan" dxfId="3">
      <formula>0</formula>
    </cfRule>
  </conditionalFormatting>
  <conditionalFormatting sqref="B31:S31">
    <cfRule type="cellIs" priority="7" operator="greaterThan" dxfId="2">
      <formula>0</formula>
    </cfRule>
    <cfRule type="cellIs" priority="8" operator="lessThan" dxfId="3">
      <formula>0</formula>
    </cfRule>
  </conditionalFormatting>
  <conditionalFormatting sqref="B32:S32">
    <cfRule type="cellIs" priority="9" operator="greaterThan" dxfId="2">
      <formula>0</formula>
    </cfRule>
    <cfRule type="cellIs" priority="10" operator="lessThan" dxfId="3">
      <formula>0</formula>
    </cfRule>
  </conditionalFormatting>
  <conditionalFormatting sqref="B7:S7">
    <cfRule type="cellIs" priority="11" operator="greaterThan" dxfId="3">
      <formula>0</formula>
    </cfRule>
    <cfRule type="cellIs" priority="12" operator="lessThan" dxfId="2">
      <formula>0</formula>
    </cfRule>
  </conditionalFormatting>
  <conditionalFormatting sqref="B8:S8">
    <cfRule type="cellIs" priority="13" operator="greaterThan" dxfId="3">
      <formula>0</formula>
    </cfRule>
    <cfRule type="cellIs" priority="14" operator="lessThan" dxfId="2">
      <formula>0</formula>
    </cfRule>
  </conditionalFormatting>
  <conditionalFormatting sqref="B9:S9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B10:S10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B11:S11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B12:S12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B13:S13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B14:S14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B15:S15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B16:S16">
    <cfRule type="cellIs" priority="29" operator="greaterThan" dxfId="3">
      <formula>0</formula>
    </cfRule>
    <cfRule type="cellIs" priority="30" operator="lessThan" dxfId="2">
      <formula>0</formula>
    </cfRule>
  </conditionalFormatting>
  <conditionalFormatting sqref="B17:S17">
    <cfRule type="cellIs" priority="31" operator="greaterThan" dxfId="3">
      <formula>0</formula>
    </cfRule>
    <cfRule type="cellIs" priority="32" operator="lessThan" dxfId="2">
      <formula>0</formula>
    </cfRule>
  </conditionalFormatting>
  <conditionalFormatting sqref="B18:S18">
    <cfRule type="cellIs" priority="33" operator="greaterThan" dxfId="3">
      <formula>0</formula>
    </cfRule>
    <cfRule type="cellIs" priority="34" operator="lessThan" dxfId="2">
      <formula>0</formula>
    </cfRule>
  </conditionalFormatting>
  <conditionalFormatting sqref="B19:S19">
    <cfRule type="cellIs" priority="35" operator="greaterThan" dxfId="3">
      <formula>0</formula>
    </cfRule>
    <cfRule type="cellIs" priority="36" operator="lessThan" dxfId="2">
      <formula>0</formula>
    </cfRule>
  </conditionalFormatting>
  <conditionalFormatting sqref="B20:S20">
    <cfRule type="cellIs" priority="37" operator="greaterThan" dxfId="3">
      <formula>0</formula>
    </cfRule>
    <cfRule type="cellIs" priority="38" operator="lessThan" dxfId="2">
      <formula>0</formula>
    </cfRule>
  </conditionalFormatting>
  <conditionalFormatting sqref="B21:S21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B22:S22">
    <cfRule type="cellIs" priority="41" operator="greaterThan" dxfId="3">
      <formula>0</formula>
    </cfRule>
    <cfRule type="cellIs" priority="42" operator="lessThan" dxfId="2">
      <formula>0</formula>
    </cfRule>
  </conditionalFormatting>
  <conditionalFormatting sqref="B23:S23">
    <cfRule type="cellIs" priority="43" operator="greaterThan" dxfId="3">
      <formula>0</formula>
    </cfRule>
    <cfRule type="cellIs" priority="44" operator="lessThan" dxfId="2">
      <formula>0</formula>
    </cfRule>
  </conditionalFormatting>
  <conditionalFormatting sqref="B24:S24">
    <cfRule type="cellIs" priority="45" operator="greaterThan" dxfId="3">
      <formula>0</formula>
    </cfRule>
    <cfRule type="cellIs" priority="46" operator="lessThan" dxfId="2">
      <formula>0</formula>
    </cfRule>
  </conditionalFormatting>
  <conditionalFormatting sqref="B25:S25">
    <cfRule type="cellIs" priority="47" operator="greaterThan" dxfId="3">
      <formula>0</formula>
    </cfRule>
    <cfRule type="cellIs" priority="48" operator="lessThan" dxfId="2">
      <formula>0</formula>
    </cfRule>
  </conditionalFormatting>
  <conditionalFormatting sqref="B26:S26">
    <cfRule type="cellIs" priority="49" operator="greaterThan" dxfId="3">
      <formula>0</formula>
    </cfRule>
    <cfRule type="cellIs" priority="50" operator="lessThan" dxfId="2">
      <formula>0</formula>
    </cfRule>
  </conditionalFormatting>
  <conditionalFormatting sqref="B27:S27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B28:S28">
    <cfRule type="cellIs" priority="53" operator="greaterThan" dxfId="3">
      <formula>0</formula>
    </cfRule>
    <cfRule type="cellIs" priority="54" operator="lessThan" dxfId="2">
      <formula>0</formula>
    </cfRule>
  </conditionalFormatting>
  <conditionalFormatting sqref="B29:S29">
    <cfRule type="cellIs" priority="55" operator="greaterThan" dxfId="3">
      <formula>0</formula>
    </cfRule>
    <cfRule type="cellIs" priority="56" operator="lessThan" dxfId="2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/>
  </sheetPr>
  <dimension ref="A1:P208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19" customWidth="1" min="3" max="3"/>
    <col width="15" customWidth="1" min="4" max="4"/>
    <col width="18" customWidth="1" min="5" max="5"/>
    <col width="13" customWidth="1" min="6" max="6"/>
    <col width="11" customWidth="1" min="7" max="7"/>
    <col width="12" customWidth="1" min="8" max="8"/>
    <col width="9" customWidth="1" min="9" max="9"/>
    <col width="26" customWidth="1" min="10" max="10"/>
    <col width="7" customWidth="1" min="11" max="11"/>
    <col width="22" customWidth="1" min="13" max="13"/>
    <col width="18" customWidth="1" min="14" max="14"/>
    <col width="12" customWidth="1" min="15" max="15"/>
    <col width="10" customWidth="1" min="16" max="16"/>
  </cols>
  <sheetData>
    <row r="1">
      <c r="A1" s="4" t="inlineStr">
        <is>
          <t>CUSTOS DE IMPLANTAÇÃO — lance cada gasto com suas tags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</row>
    <row r="2">
      <c r="A2" s="53" t="inlineStr">
        <is>
          <t>Total lançado</t>
        </is>
      </c>
      <c r="C2" s="53" t="inlineStr">
        <is>
          <t>Já pago</t>
        </is>
      </c>
      <c r="E2" s="53" t="inlineStr">
        <is>
          <t>Ainda previsto</t>
        </is>
      </c>
      <c r="G2" s="53" t="inlineStr">
        <is>
          <t>Nº de lançamentos</t>
        </is>
      </c>
    </row>
    <row r="3">
      <c r="A3" s="54">
        <f>SUMIFS($F$5:$F$204,$G$5:$G$204,"&lt;&gt;Cancelado")</f>
        <v/>
      </c>
      <c r="C3" s="54">
        <f>SUMIFS($F$5:$F$204,$G$5:$G$204,"Pago")</f>
        <v/>
      </c>
      <c r="E3" s="54">
        <f>SUMIFS($F$5:$F$204,$G$5:$G$204,"Previsto")</f>
        <v/>
      </c>
      <c r="G3" s="55">
        <f>COUNTIF($C$5:$C$204,"&lt;&gt;")</f>
        <v/>
      </c>
    </row>
    <row r="4">
      <c r="A4" s="56" t="inlineStr">
        <is>
          <t>Data</t>
        </is>
      </c>
      <c r="B4" s="56" t="inlineStr">
        <is>
          <t>Descrição</t>
        </is>
      </c>
      <c r="C4" s="56" t="inlineStr">
        <is>
          <t>Categoria</t>
        </is>
      </c>
      <c r="D4" s="56" t="inlineStr">
        <is>
          <t>Tipo</t>
        </is>
      </c>
      <c r="E4" s="56" t="inlineStr">
        <is>
          <t>Fornecedor</t>
        </is>
      </c>
      <c r="F4" s="56" t="inlineStr">
        <is>
          <t>Valor TOTAL (R$)</t>
        </is>
      </c>
      <c r="G4" s="56" t="inlineStr">
        <is>
          <t>Status</t>
        </is>
      </c>
      <c r="H4" s="56" t="inlineStr">
        <is>
          <t>Mês de início</t>
        </is>
      </c>
      <c r="I4" s="56" t="inlineStr">
        <is>
          <t>Parcelas</t>
        </is>
      </c>
      <c r="J4" s="56" t="inlineStr">
        <is>
          <t>Observação</t>
        </is>
      </c>
      <c r="K4" s="57" t="inlineStr">
        <is>
          <t>idx</t>
        </is>
      </c>
      <c r="M4" s="21" t="inlineStr">
        <is>
          <t>Categorias</t>
        </is>
      </c>
      <c r="N4" s="21" t="inlineStr">
        <is>
          <t>Tipos</t>
        </is>
      </c>
      <c r="O4" s="21" t="inlineStr">
        <is>
          <t>Status</t>
        </is>
      </c>
      <c r="P4" s="21" t="inlineStr">
        <is>
          <t>Meses</t>
        </is>
      </c>
    </row>
    <row r="5">
      <c r="A5" s="58" t="n">
        <v>46275</v>
      </c>
      <c r="B5" s="12" t="inlineStr">
        <is>
          <t>Projeto arquitetônico</t>
        </is>
      </c>
      <c r="C5" s="12" t="inlineStr">
        <is>
          <t>Documentação/Legal</t>
        </is>
      </c>
      <c r="D5" s="12" t="inlineStr">
        <is>
          <t>Consultoria</t>
        </is>
      </c>
      <c r="E5" s="12" t="inlineStr">
        <is>
          <t>Arquiteta</t>
        </is>
      </c>
      <c r="F5" s="6" t="n">
        <v>8000</v>
      </c>
      <c r="G5" s="12" t="inlineStr">
        <is>
          <t>Previsto</t>
        </is>
      </c>
      <c r="H5" s="12" t="inlineStr">
        <is>
          <t>Set/26</t>
        </is>
      </c>
      <c r="I5" s="13" t="n">
        <v>4</v>
      </c>
      <c r="J5" s="12" t="inlineStr">
        <is>
          <t>8k em 4x a partir de setembro</t>
        </is>
      </c>
      <c r="K5" s="59">
        <f>IFERROR(MATCH(H5,$P$5:$P$23,0)-1,-1)</f>
        <v/>
      </c>
      <c r="M5" s="12" t="inlineStr">
        <is>
          <t>Obra</t>
        </is>
      </c>
      <c r="N5" s="12" t="inlineStr">
        <is>
          <t>Material</t>
        </is>
      </c>
      <c r="O5" s="12" t="inlineStr">
        <is>
          <t>Pago</t>
        </is>
      </c>
      <c r="P5" s="60" t="inlineStr">
        <is>
          <t>Set/26</t>
        </is>
      </c>
    </row>
    <row r="6">
      <c r="A6" s="58" t="n">
        <v>46300</v>
      </c>
      <c r="B6" s="12" t="inlineStr">
        <is>
          <t>Cimento, areia e argamassa dos banheiros</t>
        </is>
      </c>
      <c r="C6" s="12" t="inlineStr">
        <is>
          <t>Obra</t>
        </is>
      </c>
      <c r="D6" s="12" t="inlineStr">
        <is>
          <t>Material</t>
        </is>
      </c>
      <c r="E6" s="12" t="inlineStr">
        <is>
          <t>Depósito Silva</t>
        </is>
      </c>
      <c r="F6" s="6" t="n">
        <v>500</v>
      </c>
      <c r="G6" s="12" t="inlineStr">
        <is>
          <t>Pago</t>
        </is>
      </c>
      <c r="H6" s="12" t="inlineStr">
        <is>
          <t>Out/26</t>
        </is>
      </c>
      <c r="I6" s="13" t="n">
        <v>1</v>
      </c>
      <c r="J6" s="12" t="inlineStr"/>
      <c r="K6" s="59">
        <f>IFERROR(MATCH(H6,$P$5:$P$23,0)-1,-1)</f>
        <v/>
      </c>
      <c r="M6" s="12" t="inlineStr">
        <is>
          <t>Documentação/Legal</t>
        </is>
      </c>
      <c r="N6" s="12" t="inlineStr">
        <is>
          <t>Mão de obra</t>
        </is>
      </c>
      <c r="O6" s="12" t="inlineStr">
        <is>
          <t>Previsto</t>
        </is>
      </c>
      <c r="P6" s="60" t="inlineStr">
        <is>
          <t>Out/26</t>
        </is>
      </c>
    </row>
    <row r="7">
      <c r="A7" s="58" t="n">
        <v>46303</v>
      </c>
      <c r="B7" s="12" t="inlineStr">
        <is>
          <t>Pedreiro — reforma dos banheiros</t>
        </is>
      </c>
      <c r="C7" s="12" t="inlineStr">
        <is>
          <t>Obra</t>
        </is>
      </c>
      <c r="D7" s="12" t="inlineStr">
        <is>
          <t>Mão de obra</t>
        </is>
      </c>
      <c r="E7" s="12" t="inlineStr">
        <is>
          <t>José Pedreiro</t>
        </is>
      </c>
      <c r="F7" s="6" t="n">
        <v>1000</v>
      </c>
      <c r="G7" s="12" t="inlineStr">
        <is>
          <t>Pago</t>
        </is>
      </c>
      <c r="H7" s="12" t="inlineStr">
        <is>
          <t>Out/26</t>
        </is>
      </c>
      <c r="I7" s="13" t="n">
        <v>1</v>
      </c>
      <c r="J7" s="12" t="inlineStr"/>
      <c r="K7" s="59">
        <f>IFERROR(MATCH(H7,$P$5:$P$23,0)-1,-1)</f>
        <v/>
      </c>
      <c r="M7" s="12" t="inlineStr">
        <is>
          <t>Equipamentos/TI</t>
        </is>
      </c>
      <c r="N7" s="12" t="inlineStr">
        <is>
          <t>Serviço</t>
        </is>
      </c>
      <c r="O7" s="12" t="inlineStr">
        <is>
          <t>Cancelado</t>
        </is>
      </c>
      <c r="P7" s="60" t="inlineStr">
        <is>
          <t>Nov/26</t>
        </is>
      </c>
    </row>
    <row r="8">
      <c r="A8" s="58" t="n">
        <v>46305</v>
      </c>
      <c r="B8" s="12" t="inlineStr">
        <is>
          <t>Abertura de empresa e contrato social</t>
        </is>
      </c>
      <c r="C8" s="12" t="inlineStr">
        <is>
          <t>Documentação/Legal</t>
        </is>
      </c>
      <c r="D8" s="12" t="inlineStr">
        <is>
          <t>Licença/Taxa</t>
        </is>
      </c>
      <c r="E8" s="12" t="inlineStr">
        <is>
          <t>Contabilidade</t>
        </is>
      </c>
      <c r="F8" s="6" t="n">
        <v>1000</v>
      </c>
      <c r="G8" s="12" t="inlineStr">
        <is>
          <t>Pago</t>
        </is>
      </c>
      <c r="H8" s="12" t="inlineStr">
        <is>
          <t>Out/26</t>
        </is>
      </c>
      <c r="I8" s="13" t="n">
        <v>1</v>
      </c>
      <c r="J8" s="12" t="inlineStr"/>
      <c r="K8" s="59">
        <f>IFERROR(MATCH(H8,$P$5:$P$23,0)-1,-1)</f>
        <v/>
      </c>
      <c r="M8" s="12" t="inlineStr">
        <is>
          <t>Mobiliário</t>
        </is>
      </c>
      <c r="N8" s="12" t="inlineStr">
        <is>
          <t>Compra</t>
        </is>
      </c>
      <c r="P8" s="60" t="inlineStr">
        <is>
          <t>Dez/26</t>
        </is>
      </c>
    </row>
    <row r="9">
      <c r="A9" s="58" t="n">
        <v>46310</v>
      </c>
      <c r="B9" s="12" t="inlineStr">
        <is>
          <t>Alvará de funcionamento</t>
        </is>
      </c>
      <c r="C9" s="12" t="inlineStr">
        <is>
          <t>Documentação/Legal</t>
        </is>
      </c>
      <c r="D9" s="12" t="inlineStr">
        <is>
          <t>Licença/Taxa</t>
        </is>
      </c>
      <c r="E9" s="12" t="inlineStr">
        <is>
          <t>Prefeitura</t>
        </is>
      </c>
      <c r="F9" s="6" t="n">
        <v>2500</v>
      </c>
      <c r="G9" s="12" t="inlineStr">
        <is>
          <t>Previsto</t>
        </is>
      </c>
      <c r="H9" s="12" t="inlineStr">
        <is>
          <t>Nov/26</t>
        </is>
      </c>
      <c r="I9" s="13" t="n">
        <v>1</v>
      </c>
      <c r="J9" s="12" t="inlineStr"/>
      <c r="K9" s="59">
        <f>IFERROR(MATCH(H9,$P$5:$P$23,0)-1,-1)</f>
        <v/>
      </c>
      <c r="M9" s="12" t="inlineStr">
        <is>
          <t>Marketing</t>
        </is>
      </c>
      <c r="N9" s="12" t="inlineStr">
        <is>
          <t>Licença/Taxa</t>
        </is>
      </c>
      <c r="P9" s="60" t="inlineStr">
        <is>
          <t>Jan/27</t>
        </is>
      </c>
    </row>
    <row r="10">
      <c r="A10" s="58" t="n">
        <v>46315</v>
      </c>
      <c r="B10" s="12" t="inlineStr">
        <is>
          <t>Ar-condicionado (3 unidades)</t>
        </is>
      </c>
      <c r="C10" s="12" t="inlineStr">
        <is>
          <t>Equipamentos/TI</t>
        </is>
      </c>
      <c r="D10" s="12" t="inlineStr">
        <is>
          <t>Compra</t>
        </is>
      </c>
      <c r="E10" s="12" t="inlineStr">
        <is>
          <t>Loja X</t>
        </is>
      </c>
      <c r="F10" s="6" t="n">
        <v>12000</v>
      </c>
      <c r="G10" s="12" t="inlineStr">
        <is>
          <t>Previsto</t>
        </is>
      </c>
      <c r="H10" s="12" t="inlineStr">
        <is>
          <t>Nov/26</t>
        </is>
      </c>
      <c r="I10" s="13" t="n">
        <v>3</v>
      </c>
      <c r="J10" s="12" t="inlineStr">
        <is>
          <t>parcelado em 3x</t>
        </is>
      </c>
      <c r="K10" s="59">
        <f>IFERROR(MATCH(H10,$P$5:$P$23,0)-1,-1)</f>
        <v/>
      </c>
      <c r="M10" s="12" t="inlineStr">
        <is>
          <t>Material didático</t>
        </is>
      </c>
      <c r="N10" s="12" t="inlineStr">
        <is>
          <t>Consultoria</t>
        </is>
      </c>
      <c r="P10" s="60" t="inlineStr">
        <is>
          <t>Fev/27</t>
        </is>
      </c>
    </row>
    <row r="11">
      <c r="A11" s="58" t="n"/>
      <c r="B11" s="12" t="n"/>
      <c r="C11" s="12" t="n"/>
      <c r="D11" s="12" t="n"/>
      <c r="E11" s="12" t="n"/>
      <c r="F11" s="6" t="n"/>
      <c r="G11" s="12" t="n"/>
      <c r="H11" s="12" t="n"/>
      <c r="I11" s="13" t="n">
        <v>1</v>
      </c>
      <c r="J11" s="12" t="n"/>
      <c r="K11" s="59">
        <f>IFERROR(MATCH(H11,$P$5:$P$23,0)-1,-1)</f>
        <v/>
      </c>
      <c r="M11" s="12" t="inlineStr">
        <is>
          <t>Instalações</t>
        </is>
      </c>
      <c r="N11" s="12" t="inlineStr">
        <is>
          <t>Software</t>
        </is>
      </c>
      <c r="P11" s="60" t="inlineStr">
        <is>
          <t>Mar/27</t>
        </is>
      </c>
    </row>
    <row r="12">
      <c r="A12" s="58" t="n"/>
      <c r="B12" s="12" t="n"/>
      <c r="C12" s="12" t="n"/>
      <c r="D12" s="12" t="n"/>
      <c r="E12" s="12" t="n"/>
      <c r="F12" s="6" t="n"/>
      <c r="G12" s="12" t="n"/>
      <c r="H12" s="12" t="n"/>
      <c r="I12" s="13" t="n">
        <v>1</v>
      </c>
      <c r="J12" s="12" t="n"/>
      <c r="K12" s="59">
        <f>IFERROR(MATCH(H12,$P$5:$P$23,0)-1,-1)</f>
        <v/>
      </c>
      <c r="M12" s="12" t="inlineStr">
        <is>
          <t>Taxas/Franquia</t>
        </is>
      </c>
      <c r="N12" s="12" t="inlineStr">
        <is>
          <t>Outros</t>
        </is>
      </c>
      <c r="P12" s="60" t="inlineStr">
        <is>
          <t>Abr/27</t>
        </is>
      </c>
    </row>
    <row r="13">
      <c r="A13" s="58" t="n"/>
      <c r="B13" s="12" t="n"/>
      <c r="C13" s="12" t="n"/>
      <c r="D13" s="12" t="n"/>
      <c r="E13" s="12" t="n"/>
      <c r="F13" s="6" t="n"/>
      <c r="G13" s="12" t="n"/>
      <c r="H13" s="12" t="n"/>
      <c r="I13" s="13" t="n">
        <v>1</v>
      </c>
      <c r="J13" s="12" t="n"/>
      <c r="K13" s="59">
        <f>IFERROR(MATCH(H13,$P$5:$P$23,0)-1,-1)</f>
        <v/>
      </c>
      <c r="M13" s="12" t="inlineStr">
        <is>
          <t>Aluguel/Caução</t>
        </is>
      </c>
      <c r="P13" s="60" t="inlineStr">
        <is>
          <t>Mai/27</t>
        </is>
      </c>
    </row>
    <row r="14">
      <c r="A14" s="58" t="n"/>
      <c r="B14" s="12" t="n"/>
      <c r="C14" s="12" t="n"/>
      <c r="D14" s="12" t="n"/>
      <c r="E14" s="12" t="n"/>
      <c r="F14" s="6" t="n"/>
      <c r="G14" s="12" t="n"/>
      <c r="H14" s="12" t="n"/>
      <c r="I14" s="13" t="n">
        <v>1</v>
      </c>
      <c r="J14" s="12" t="n"/>
      <c r="K14" s="59">
        <f>IFERROR(MATCH(H14,$P$5:$P$23,0)-1,-1)</f>
        <v/>
      </c>
      <c r="M14" s="12" t="inlineStr">
        <is>
          <t>Outros</t>
        </is>
      </c>
      <c r="P14" s="60" t="inlineStr">
        <is>
          <t>Jun/27</t>
        </is>
      </c>
    </row>
    <row r="15">
      <c r="A15" s="58" t="n"/>
      <c r="B15" s="12" t="n"/>
      <c r="C15" s="12" t="n"/>
      <c r="D15" s="12" t="n"/>
      <c r="E15" s="12" t="n"/>
      <c r="F15" s="6" t="n"/>
      <c r="G15" s="12" t="n"/>
      <c r="H15" s="12" t="n"/>
      <c r="I15" s="13" t="n">
        <v>1</v>
      </c>
      <c r="J15" s="12" t="n"/>
      <c r="K15" s="59">
        <f>IFERROR(MATCH(H15,$P$5:$P$23,0)-1,-1)</f>
        <v/>
      </c>
      <c r="P15" s="60" t="inlineStr">
        <is>
          <t>Jul/27</t>
        </is>
      </c>
    </row>
    <row r="16">
      <c r="A16" s="58" t="n"/>
      <c r="B16" s="12" t="n"/>
      <c r="C16" s="12" t="n"/>
      <c r="D16" s="12" t="n"/>
      <c r="E16" s="12" t="n"/>
      <c r="F16" s="6" t="n"/>
      <c r="G16" s="12" t="n"/>
      <c r="H16" s="12" t="n"/>
      <c r="I16" s="13" t="n">
        <v>1</v>
      </c>
      <c r="J16" s="12" t="n"/>
      <c r="K16" s="59">
        <f>IFERROR(MATCH(H16,$P$5:$P$23,0)-1,-1)</f>
        <v/>
      </c>
      <c r="P16" s="60" t="inlineStr">
        <is>
          <t>Ago/27</t>
        </is>
      </c>
    </row>
    <row r="17">
      <c r="A17" s="58" t="n"/>
      <c r="B17" s="12" t="n"/>
      <c r="C17" s="12" t="n"/>
      <c r="D17" s="12" t="n"/>
      <c r="E17" s="12" t="n"/>
      <c r="F17" s="6" t="n"/>
      <c r="G17" s="12" t="n"/>
      <c r="H17" s="12" t="n"/>
      <c r="I17" s="13" t="n">
        <v>1</v>
      </c>
      <c r="J17" s="12" t="n"/>
      <c r="K17" s="59">
        <f>IFERROR(MATCH(H17,$P$5:$P$23,0)-1,-1)</f>
        <v/>
      </c>
      <c r="P17" s="60" t="inlineStr">
        <is>
          <t>Set/27</t>
        </is>
      </c>
    </row>
    <row r="18">
      <c r="A18" s="58" t="n"/>
      <c r="B18" s="12" t="n"/>
      <c r="C18" s="12" t="n"/>
      <c r="D18" s="12" t="n"/>
      <c r="E18" s="12" t="n"/>
      <c r="F18" s="6" t="n"/>
      <c r="G18" s="12" t="n"/>
      <c r="H18" s="12" t="n"/>
      <c r="I18" s="13" t="n">
        <v>1</v>
      </c>
      <c r="J18" s="12" t="n"/>
      <c r="K18" s="59">
        <f>IFERROR(MATCH(H18,$P$5:$P$23,0)-1,-1)</f>
        <v/>
      </c>
      <c r="P18" s="60" t="inlineStr">
        <is>
          <t>Out/27</t>
        </is>
      </c>
    </row>
    <row r="19">
      <c r="A19" s="58" t="n"/>
      <c r="B19" s="12" t="n"/>
      <c r="C19" s="12" t="n"/>
      <c r="D19" s="12" t="n"/>
      <c r="E19" s="12" t="n"/>
      <c r="F19" s="6" t="n"/>
      <c r="G19" s="12" t="n"/>
      <c r="H19" s="12" t="n"/>
      <c r="I19" s="13" t="n">
        <v>1</v>
      </c>
      <c r="J19" s="12" t="n"/>
      <c r="K19" s="59">
        <f>IFERROR(MATCH(H19,$P$5:$P$23,0)-1,-1)</f>
        <v/>
      </c>
      <c r="P19" s="60" t="inlineStr">
        <is>
          <t>Nov/27</t>
        </is>
      </c>
    </row>
    <row r="20">
      <c r="A20" s="58" t="n"/>
      <c r="B20" s="12" t="n"/>
      <c r="C20" s="12" t="n"/>
      <c r="D20" s="12" t="n"/>
      <c r="E20" s="12" t="n"/>
      <c r="F20" s="6" t="n"/>
      <c r="G20" s="12" t="n"/>
      <c r="H20" s="12" t="n"/>
      <c r="I20" s="13" t="n">
        <v>1</v>
      </c>
      <c r="J20" s="12" t="n"/>
      <c r="K20" s="59">
        <f>IFERROR(MATCH(H20,$P$5:$P$23,0)-1,-1)</f>
        <v/>
      </c>
      <c r="P20" s="60" t="inlineStr">
        <is>
          <t>Dez/27</t>
        </is>
      </c>
    </row>
    <row r="21">
      <c r="A21" s="58" t="n"/>
      <c r="B21" s="12" t="n"/>
      <c r="C21" s="12" t="n"/>
      <c r="D21" s="12" t="n"/>
      <c r="E21" s="12" t="n"/>
      <c r="F21" s="6" t="n"/>
      <c r="G21" s="12" t="n"/>
      <c r="H21" s="12" t="n"/>
      <c r="I21" s="13" t="n">
        <v>1</v>
      </c>
      <c r="J21" s="12" t="n"/>
      <c r="K21" s="59">
        <f>IFERROR(MATCH(H21,$P$5:$P$23,0)-1,-1)</f>
        <v/>
      </c>
      <c r="P21" s="60" t="inlineStr">
        <is>
          <t>Jan/28</t>
        </is>
      </c>
    </row>
    <row r="22">
      <c r="A22" s="58" t="n"/>
      <c r="B22" s="12" t="n"/>
      <c r="C22" s="12" t="n"/>
      <c r="D22" s="12" t="n"/>
      <c r="E22" s="12" t="n"/>
      <c r="F22" s="6" t="n"/>
      <c r="G22" s="12" t="n"/>
      <c r="H22" s="12" t="n"/>
      <c r="I22" s="13" t="n">
        <v>1</v>
      </c>
      <c r="J22" s="12" t="n"/>
      <c r="K22" s="59">
        <f>IFERROR(MATCH(H22,$P$5:$P$23,0)-1,-1)</f>
        <v/>
      </c>
      <c r="P22" s="60" t="inlineStr">
        <is>
          <t>Fev/28</t>
        </is>
      </c>
    </row>
    <row r="23">
      <c r="A23" s="58" t="n"/>
      <c r="B23" s="12" t="n"/>
      <c r="C23" s="12" t="n"/>
      <c r="D23" s="12" t="n"/>
      <c r="E23" s="12" t="n"/>
      <c r="F23" s="6" t="n"/>
      <c r="G23" s="12" t="n"/>
      <c r="H23" s="12" t="n"/>
      <c r="I23" s="13" t="n">
        <v>1</v>
      </c>
      <c r="J23" s="12" t="n"/>
      <c r="K23" s="59">
        <f>IFERROR(MATCH(H23,$P$5:$P$23,0)-1,-1)</f>
        <v/>
      </c>
      <c r="P23" s="60" t="inlineStr">
        <is>
          <t>Mar/28</t>
        </is>
      </c>
    </row>
    <row r="24">
      <c r="A24" s="58" t="n"/>
      <c r="B24" s="12" t="n"/>
      <c r="C24" s="12" t="n"/>
      <c r="D24" s="12" t="n"/>
      <c r="E24" s="12" t="n"/>
      <c r="F24" s="6" t="n"/>
      <c r="G24" s="12" t="n"/>
      <c r="H24" s="12" t="n"/>
      <c r="I24" s="13" t="n">
        <v>1</v>
      </c>
      <c r="J24" s="12" t="n"/>
      <c r="K24" s="59">
        <f>IFERROR(MATCH(H24,$P$5:$P$23,0)-1,-1)</f>
        <v/>
      </c>
    </row>
    <row r="25">
      <c r="A25" s="58" t="n"/>
      <c r="B25" s="12" t="n"/>
      <c r="C25" s="12" t="n"/>
      <c r="D25" s="12" t="n"/>
      <c r="E25" s="12" t="n"/>
      <c r="F25" s="6" t="n"/>
      <c r="G25" s="12" t="n"/>
      <c r="H25" s="12" t="n"/>
      <c r="I25" s="13" t="n">
        <v>1</v>
      </c>
      <c r="J25" s="12" t="n"/>
      <c r="K25" s="59">
        <f>IFERROR(MATCH(H25,$P$5:$P$23,0)-1,-1)</f>
        <v/>
      </c>
    </row>
    <row r="26">
      <c r="A26" s="58" t="n"/>
      <c r="B26" s="12" t="n"/>
      <c r="C26" s="12" t="n"/>
      <c r="D26" s="12" t="n"/>
      <c r="E26" s="12" t="n"/>
      <c r="F26" s="6" t="n"/>
      <c r="G26" s="12" t="n"/>
      <c r="H26" s="12" t="n"/>
      <c r="I26" s="13" t="n">
        <v>1</v>
      </c>
      <c r="J26" s="12" t="n"/>
      <c r="K26" s="59">
        <f>IFERROR(MATCH(H26,$P$5:$P$23,0)-1,-1)</f>
        <v/>
      </c>
    </row>
    <row r="27">
      <c r="A27" s="58" t="n"/>
      <c r="B27" s="12" t="n"/>
      <c r="C27" s="12" t="n"/>
      <c r="D27" s="12" t="n"/>
      <c r="E27" s="12" t="n"/>
      <c r="F27" s="6" t="n"/>
      <c r="G27" s="12" t="n"/>
      <c r="H27" s="12" t="n"/>
      <c r="I27" s="13" t="n">
        <v>1</v>
      </c>
      <c r="J27" s="12" t="n"/>
      <c r="K27" s="59">
        <f>IFERROR(MATCH(H27,$P$5:$P$23,0)-1,-1)</f>
        <v/>
      </c>
    </row>
    <row r="28">
      <c r="A28" s="58" t="n"/>
      <c r="B28" s="12" t="n"/>
      <c r="C28" s="12" t="n"/>
      <c r="D28" s="12" t="n"/>
      <c r="E28" s="12" t="n"/>
      <c r="F28" s="6" t="n"/>
      <c r="G28" s="12" t="n"/>
      <c r="H28" s="12" t="n"/>
      <c r="I28" s="13" t="n">
        <v>1</v>
      </c>
      <c r="J28" s="12" t="n"/>
      <c r="K28" s="59">
        <f>IFERROR(MATCH(H28,$P$5:$P$23,0)-1,-1)</f>
        <v/>
      </c>
    </row>
    <row r="29">
      <c r="A29" s="58" t="n"/>
      <c r="B29" s="12" t="n"/>
      <c r="C29" s="12" t="n"/>
      <c r="D29" s="12" t="n"/>
      <c r="E29" s="12" t="n"/>
      <c r="F29" s="6" t="n"/>
      <c r="G29" s="12" t="n"/>
      <c r="H29" s="12" t="n"/>
      <c r="I29" s="13" t="n">
        <v>1</v>
      </c>
      <c r="J29" s="12" t="n"/>
      <c r="K29" s="59">
        <f>IFERROR(MATCH(H29,$P$5:$P$23,0)-1,-1)</f>
        <v/>
      </c>
    </row>
    <row r="30">
      <c r="A30" s="58" t="n"/>
      <c r="B30" s="12" t="n"/>
      <c r="C30" s="12" t="n"/>
      <c r="D30" s="12" t="n"/>
      <c r="E30" s="12" t="n"/>
      <c r="F30" s="6" t="n"/>
      <c r="G30" s="12" t="n"/>
      <c r="H30" s="12" t="n"/>
      <c r="I30" s="13" t="n">
        <v>1</v>
      </c>
      <c r="J30" s="12" t="n"/>
      <c r="K30" s="59">
        <f>IFERROR(MATCH(H30,$P$5:$P$23,0)-1,-1)</f>
        <v/>
      </c>
    </row>
    <row r="31">
      <c r="A31" s="58" t="n"/>
      <c r="B31" s="12" t="n"/>
      <c r="C31" s="12" t="n"/>
      <c r="D31" s="12" t="n"/>
      <c r="E31" s="12" t="n"/>
      <c r="F31" s="6" t="n"/>
      <c r="G31" s="12" t="n"/>
      <c r="H31" s="12" t="n"/>
      <c r="I31" s="13" t="n">
        <v>1</v>
      </c>
      <c r="J31" s="12" t="n"/>
      <c r="K31" s="59">
        <f>IFERROR(MATCH(H31,$P$5:$P$23,0)-1,-1)</f>
        <v/>
      </c>
    </row>
    <row r="32">
      <c r="A32" s="58" t="n"/>
      <c r="B32" s="12" t="n"/>
      <c r="C32" s="12" t="n"/>
      <c r="D32" s="12" t="n"/>
      <c r="E32" s="12" t="n"/>
      <c r="F32" s="6" t="n"/>
      <c r="G32" s="12" t="n"/>
      <c r="H32" s="12" t="n"/>
      <c r="I32" s="13" t="n">
        <v>1</v>
      </c>
      <c r="J32" s="12" t="n"/>
      <c r="K32" s="59">
        <f>IFERROR(MATCH(H32,$P$5:$P$23,0)-1,-1)</f>
        <v/>
      </c>
    </row>
    <row r="33">
      <c r="A33" s="58" t="n"/>
      <c r="B33" s="12" t="n"/>
      <c r="C33" s="12" t="n"/>
      <c r="D33" s="12" t="n"/>
      <c r="E33" s="12" t="n"/>
      <c r="F33" s="6" t="n"/>
      <c r="G33" s="12" t="n"/>
      <c r="H33" s="12" t="n"/>
      <c r="I33" s="13" t="n">
        <v>1</v>
      </c>
      <c r="J33" s="12" t="n"/>
      <c r="K33" s="59">
        <f>IFERROR(MATCH(H33,$P$5:$P$23,0)-1,-1)</f>
        <v/>
      </c>
    </row>
    <row r="34">
      <c r="A34" s="58" t="n"/>
      <c r="B34" s="12" t="n"/>
      <c r="C34" s="12" t="n"/>
      <c r="D34" s="12" t="n"/>
      <c r="E34" s="12" t="n"/>
      <c r="F34" s="6" t="n"/>
      <c r="G34" s="12" t="n"/>
      <c r="H34" s="12" t="n"/>
      <c r="I34" s="13" t="n">
        <v>1</v>
      </c>
      <c r="J34" s="12" t="n"/>
      <c r="K34" s="59">
        <f>IFERROR(MATCH(H34,$P$5:$P$23,0)-1,-1)</f>
        <v/>
      </c>
    </row>
    <row r="35">
      <c r="A35" s="58" t="n"/>
      <c r="B35" s="12" t="n"/>
      <c r="C35" s="12" t="n"/>
      <c r="D35" s="12" t="n"/>
      <c r="E35" s="12" t="n"/>
      <c r="F35" s="6" t="n"/>
      <c r="G35" s="12" t="n"/>
      <c r="H35" s="12" t="n"/>
      <c r="I35" s="13" t="n">
        <v>1</v>
      </c>
      <c r="J35" s="12" t="n"/>
      <c r="K35" s="59">
        <f>IFERROR(MATCH(H35,$P$5:$P$23,0)-1,-1)</f>
        <v/>
      </c>
    </row>
    <row r="36">
      <c r="A36" s="58" t="n"/>
      <c r="B36" s="12" t="n"/>
      <c r="C36" s="12" t="n"/>
      <c r="D36" s="12" t="n"/>
      <c r="E36" s="12" t="n"/>
      <c r="F36" s="6" t="n"/>
      <c r="G36" s="12" t="n"/>
      <c r="H36" s="12" t="n"/>
      <c r="I36" s="13" t="n">
        <v>1</v>
      </c>
      <c r="J36" s="12" t="n"/>
      <c r="K36" s="59">
        <f>IFERROR(MATCH(H36,$P$5:$P$23,0)-1,-1)</f>
        <v/>
      </c>
    </row>
    <row r="37">
      <c r="A37" s="58" t="n"/>
      <c r="B37" s="12" t="n"/>
      <c r="C37" s="12" t="n"/>
      <c r="D37" s="12" t="n"/>
      <c r="E37" s="12" t="n"/>
      <c r="F37" s="6" t="n"/>
      <c r="G37" s="12" t="n"/>
      <c r="H37" s="12" t="n"/>
      <c r="I37" s="13" t="n">
        <v>1</v>
      </c>
      <c r="J37" s="12" t="n"/>
      <c r="K37" s="59">
        <f>IFERROR(MATCH(H37,$P$5:$P$23,0)-1,-1)</f>
        <v/>
      </c>
    </row>
    <row r="38">
      <c r="A38" s="58" t="n"/>
      <c r="B38" s="12" t="n"/>
      <c r="C38" s="12" t="n"/>
      <c r="D38" s="12" t="n"/>
      <c r="E38" s="12" t="n"/>
      <c r="F38" s="6" t="n"/>
      <c r="G38" s="12" t="n"/>
      <c r="H38" s="12" t="n"/>
      <c r="I38" s="13" t="n">
        <v>1</v>
      </c>
      <c r="J38" s="12" t="n"/>
      <c r="K38" s="59">
        <f>IFERROR(MATCH(H38,$P$5:$P$23,0)-1,-1)</f>
        <v/>
      </c>
    </row>
    <row r="39">
      <c r="A39" s="58" t="n"/>
      <c r="B39" s="12" t="n"/>
      <c r="C39" s="12" t="n"/>
      <c r="D39" s="12" t="n"/>
      <c r="E39" s="12" t="n"/>
      <c r="F39" s="6" t="n"/>
      <c r="G39" s="12" t="n"/>
      <c r="H39" s="12" t="n"/>
      <c r="I39" s="13" t="n">
        <v>1</v>
      </c>
      <c r="J39" s="12" t="n"/>
      <c r="K39" s="59">
        <f>IFERROR(MATCH(H39,$P$5:$P$23,0)-1,-1)</f>
        <v/>
      </c>
    </row>
    <row r="40">
      <c r="A40" s="58" t="n"/>
      <c r="B40" s="12" t="n"/>
      <c r="C40" s="12" t="n"/>
      <c r="D40" s="12" t="n"/>
      <c r="E40" s="12" t="n"/>
      <c r="F40" s="6" t="n"/>
      <c r="G40" s="12" t="n"/>
      <c r="H40" s="12" t="n"/>
      <c r="I40" s="13" t="n">
        <v>1</v>
      </c>
      <c r="J40" s="12" t="n"/>
      <c r="K40" s="59">
        <f>IFERROR(MATCH(H40,$P$5:$P$23,0)-1,-1)</f>
        <v/>
      </c>
    </row>
    <row r="41">
      <c r="A41" s="58" t="n"/>
      <c r="B41" s="12" t="n"/>
      <c r="C41" s="12" t="n"/>
      <c r="D41" s="12" t="n"/>
      <c r="E41" s="12" t="n"/>
      <c r="F41" s="6" t="n"/>
      <c r="G41" s="12" t="n"/>
      <c r="H41" s="12" t="n"/>
      <c r="I41" s="13" t="n">
        <v>1</v>
      </c>
      <c r="J41" s="12" t="n"/>
      <c r="K41" s="59">
        <f>IFERROR(MATCH(H41,$P$5:$P$23,0)-1,-1)</f>
        <v/>
      </c>
    </row>
    <row r="42">
      <c r="A42" s="58" t="n"/>
      <c r="B42" s="12" t="n"/>
      <c r="C42" s="12" t="n"/>
      <c r="D42" s="12" t="n"/>
      <c r="E42" s="12" t="n"/>
      <c r="F42" s="6" t="n"/>
      <c r="G42" s="12" t="n"/>
      <c r="H42" s="12" t="n"/>
      <c r="I42" s="13" t="n">
        <v>1</v>
      </c>
      <c r="J42" s="12" t="n"/>
      <c r="K42" s="59">
        <f>IFERROR(MATCH(H42,$P$5:$P$23,0)-1,-1)</f>
        <v/>
      </c>
    </row>
    <row r="43">
      <c r="A43" s="58" t="n"/>
      <c r="B43" s="12" t="n"/>
      <c r="C43" s="12" t="n"/>
      <c r="D43" s="12" t="n"/>
      <c r="E43" s="12" t="n"/>
      <c r="F43" s="6" t="n"/>
      <c r="G43" s="12" t="n"/>
      <c r="H43" s="12" t="n"/>
      <c r="I43" s="13" t="n">
        <v>1</v>
      </c>
      <c r="J43" s="12" t="n"/>
      <c r="K43" s="59">
        <f>IFERROR(MATCH(H43,$P$5:$P$23,0)-1,-1)</f>
        <v/>
      </c>
    </row>
    <row r="44">
      <c r="A44" s="58" t="n"/>
      <c r="B44" s="12" t="n"/>
      <c r="C44" s="12" t="n"/>
      <c r="D44" s="12" t="n"/>
      <c r="E44" s="12" t="n"/>
      <c r="F44" s="6" t="n"/>
      <c r="G44" s="12" t="n"/>
      <c r="H44" s="12" t="n"/>
      <c r="I44" s="13" t="n">
        <v>1</v>
      </c>
      <c r="J44" s="12" t="n"/>
      <c r="K44" s="59">
        <f>IFERROR(MATCH(H44,$P$5:$P$23,0)-1,-1)</f>
        <v/>
      </c>
    </row>
    <row r="45">
      <c r="A45" s="58" t="n"/>
      <c r="B45" s="12" t="n"/>
      <c r="C45" s="12" t="n"/>
      <c r="D45" s="12" t="n"/>
      <c r="E45" s="12" t="n"/>
      <c r="F45" s="6" t="n"/>
      <c r="G45" s="12" t="n"/>
      <c r="H45" s="12" t="n"/>
      <c r="I45" s="13" t="n">
        <v>1</v>
      </c>
      <c r="J45" s="12" t="n"/>
      <c r="K45" s="59">
        <f>IFERROR(MATCH(H45,$P$5:$P$23,0)-1,-1)</f>
        <v/>
      </c>
    </row>
    <row r="46">
      <c r="A46" s="58" t="n"/>
      <c r="B46" s="12" t="n"/>
      <c r="C46" s="12" t="n"/>
      <c r="D46" s="12" t="n"/>
      <c r="E46" s="12" t="n"/>
      <c r="F46" s="6" t="n"/>
      <c r="G46" s="12" t="n"/>
      <c r="H46" s="12" t="n"/>
      <c r="I46" s="13" t="n">
        <v>1</v>
      </c>
      <c r="J46" s="12" t="n"/>
      <c r="K46" s="59">
        <f>IFERROR(MATCH(H46,$P$5:$P$23,0)-1,-1)</f>
        <v/>
      </c>
    </row>
    <row r="47">
      <c r="A47" s="58" t="n"/>
      <c r="B47" s="12" t="n"/>
      <c r="C47" s="12" t="n"/>
      <c r="D47" s="12" t="n"/>
      <c r="E47" s="12" t="n"/>
      <c r="F47" s="6" t="n"/>
      <c r="G47" s="12" t="n"/>
      <c r="H47" s="12" t="n"/>
      <c r="I47" s="13" t="n">
        <v>1</v>
      </c>
      <c r="J47" s="12" t="n"/>
      <c r="K47" s="59">
        <f>IFERROR(MATCH(H47,$P$5:$P$23,0)-1,-1)</f>
        <v/>
      </c>
    </row>
    <row r="48">
      <c r="A48" s="58" t="n"/>
      <c r="B48" s="12" t="n"/>
      <c r="C48" s="12" t="n"/>
      <c r="D48" s="12" t="n"/>
      <c r="E48" s="12" t="n"/>
      <c r="F48" s="6" t="n"/>
      <c r="G48" s="12" t="n"/>
      <c r="H48" s="12" t="n"/>
      <c r="I48" s="13" t="n">
        <v>1</v>
      </c>
      <c r="J48" s="12" t="n"/>
      <c r="K48" s="59">
        <f>IFERROR(MATCH(H48,$P$5:$P$23,0)-1,-1)</f>
        <v/>
      </c>
    </row>
    <row r="49">
      <c r="A49" s="58" t="n"/>
      <c r="B49" s="12" t="n"/>
      <c r="C49" s="12" t="n"/>
      <c r="D49" s="12" t="n"/>
      <c r="E49" s="12" t="n"/>
      <c r="F49" s="6" t="n"/>
      <c r="G49" s="12" t="n"/>
      <c r="H49" s="12" t="n"/>
      <c r="I49" s="13" t="n">
        <v>1</v>
      </c>
      <c r="J49" s="12" t="n"/>
      <c r="K49" s="59">
        <f>IFERROR(MATCH(H49,$P$5:$P$23,0)-1,-1)</f>
        <v/>
      </c>
    </row>
    <row r="50">
      <c r="A50" s="58" t="n"/>
      <c r="B50" s="12" t="n"/>
      <c r="C50" s="12" t="n"/>
      <c r="D50" s="12" t="n"/>
      <c r="E50" s="12" t="n"/>
      <c r="F50" s="6" t="n"/>
      <c r="G50" s="12" t="n"/>
      <c r="H50" s="12" t="n"/>
      <c r="I50" s="13" t="n">
        <v>1</v>
      </c>
      <c r="J50" s="12" t="n"/>
      <c r="K50" s="59">
        <f>IFERROR(MATCH(H50,$P$5:$P$23,0)-1,-1)</f>
        <v/>
      </c>
    </row>
    <row r="51">
      <c r="A51" s="58" t="n"/>
      <c r="B51" s="12" t="n"/>
      <c r="C51" s="12" t="n"/>
      <c r="D51" s="12" t="n"/>
      <c r="E51" s="12" t="n"/>
      <c r="F51" s="6" t="n"/>
      <c r="G51" s="12" t="n"/>
      <c r="H51" s="12" t="n"/>
      <c r="I51" s="13" t="n">
        <v>1</v>
      </c>
      <c r="J51" s="12" t="n"/>
      <c r="K51" s="59">
        <f>IFERROR(MATCH(H51,$P$5:$P$23,0)-1,-1)</f>
        <v/>
      </c>
    </row>
    <row r="52">
      <c r="A52" s="58" t="n"/>
      <c r="B52" s="12" t="n"/>
      <c r="C52" s="12" t="n"/>
      <c r="D52" s="12" t="n"/>
      <c r="E52" s="12" t="n"/>
      <c r="F52" s="6" t="n"/>
      <c r="G52" s="12" t="n"/>
      <c r="H52" s="12" t="n"/>
      <c r="I52" s="13" t="n">
        <v>1</v>
      </c>
      <c r="J52" s="12" t="n"/>
      <c r="K52" s="59">
        <f>IFERROR(MATCH(H52,$P$5:$P$23,0)-1,-1)</f>
        <v/>
      </c>
    </row>
    <row r="53">
      <c r="A53" s="58" t="n"/>
      <c r="B53" s="12" t="n"/>
      <c r="C53" s="12" t="n"/>
      <c r="D53" s="12" t="n"/>
      <c r="E53" s="12" t="n"/>
      <c r="F53" s="6" t="n"/>
      <c r="G53" s="12" t="n"/>
      <c r="H53" s="12" t="n"/>
      <c r="I53" s="13" t="n">
        <v>1</v>
      </c>
      <c r="J53" s="12" t="n"/>
      <c r="K53" s="59">
        <f>IFERROR(MATCH(H53,$P$5:$P$23,0)-1,-1)</f>
        <v/>
      </c>
    </row>
    <row r="54">
      <c r="A54" s="58" t="n"/>
      <c r="B54" s="12" t="n"/>
      <c r="C54" s="12" t="n"/>
      <c r="D54" s="12" t="n"/>
      <c r="E54" s="12" t="n"/>
      <c r="F54" s="6" t="n"/>
      <c r="G54" s="12" t="n"/>
      <c r="H54" s="12" t="n"/>
      <c r="I54" s="13" t="n">
        <v>1</v>
      </c>
      <c r="J54" s="12" t="n"/>
      <c r="K54" s="59">
        <f>IFERROR(MATCH(H54,$P$5:$P$23,0)-1,-1)</f>
        <v/>
      </c>
    </row>
    <row r="55">
      <c r="A55" s="58" t="n"/>
      <c r="B55" s="12" t="n"/>
      <c r="C55" s="12" t="n"/>
      <c r="D55" s="12" t="n"/>
      <c r="E55" s="12" t="n"/>
      <c r="F55" s="6" t="n"/>
      <c r="G55" s="12" t="n"/>
      <c r="H55" s="12" t="n"/>
      <c r="I55" s="13" t="n">
        <v>1</v>
      </c>
      <c r="J55" s="12" t="n"/>
      <c r="K55" s="59">
        <f>IFERROR(MATCH(H55,$P$5:$P$23,0)-1,-1)</f>
        <v/>
      </c>
    </row>
    <row r="56">
      <c r="A56" s="58" t="n"/>
      <c r="B56" s="12" t="n"/>
      <c r="C56" s="12" t="n"/>
      <c r="D56" s="12" t="n"/>
      <c r="E56" s="12" t="n"/>
      <c r="F56" s="6" t="n"/>
      <c r="G56" s="12" t="n"/>
      <c r="H56" s="12" t="n"/>
      <c r="I56" s="13" t="n">
        <v>1</v>
      </c>
      <c r="J56" s="12" t="n"/>
      <c r="K56" s="59">
        <f>IFERROR(MATCH(H56,$P$5:$P$23,0)-1,-1)</f>
        <v/>
      </c>
    </row>
    <row r="57">
      <c r="A57" s="58" t="n"/>
      <c r="B57" s="12" t="n"/>
      <c r="C57" s="12" t="n"/>
      <c r="D57" s="12" t="n"/>
      <c r="E57" s="12" t="n"/>
      <c r="F57" s="6" t="n"/>
      <c r="G57" s="12" t="n"/>
      <c r="H57" s="12" t="n"/>
      <c r="I57" s="13" t="n">
        <v>1</v>
      </c>
      <c r="J57" s="12" t="n"/>
      <c r="K57" s="59">
        <f>IFERROR(MATCH(H57,$P$5:$P$23,0)-1,-1)</f>
        <v/>
      </c>
    </row>
    <row r="58">
      <c r="A58" s="58" t="n"/>
      <c r="B58" s="12" t="n"/>
      <c r="C58" s="12" t="n"/>
      <c r="D58" s="12" t="n"/>
      <c r="E58" s="12" t="n"/>
      <c r="F58" s="6" t="n"/>
      <c r="G58" s="12" t="n"/>
      <c r="H58" s="12" t="n"/>
      <c r="I58" s="13" t="n">
        <v>1</v>
      </c>
      <c r="J58" s="12" t="n"/>
      <c r="K58" s="59">
        <f>IFERROR(MATCH(H58,$P$5:$P$23,0)-1,-1)</f>
        <v/>
      </c>
    </row>
    <row r="59">
      <c r="A59" s="58" t="n"/>
      <c r="B59" s="12" t="n"/>
      <c r="C59" s="12" t="n"/>
      <c r="D59" s="12" t="n"/>
      <c r="E59" s="12" t="n"/>
      <c r="F59" s="6" t="n"/>
      <c r="G59" s="12" t="n"/>
      <c r="H59" s="12" t="n"/>
      <c r="I59" s="13" t="n">
        <v>1</v>
      </c>
      <c r="J59" s="12" t="n"/>
      <c r="K59" s="59">
        <f>IFERROR(MATCH(H59,$P$5:$P$23,0)-1,-1)</f>
        <v/>
      </c>
    </row>
    <row r="60">
      <c r="A60" s="58" t="n"/>
      <c r="B60" s="12" t="n"/>
      <c r="C60" s="12" t="n"/>
      <c r="D60" s="12" t="n"/>
      <c r="E60" s="12" t="n"/>
      <c r="F60" s="6" t="n"/>
      <c r="G60" s="12" t="n"/>
      <c r="H60" s="12" t="n"/>
      <c r="I60" s="13" t="n">
        <v>1</v>
      </c>
      <c r="J60" s="12" t="n"/>
      <c r="K60" s="59">
        <f>IFERROR(MATCH(H60,$P$5:$P$23,0)-1,-1)</f>
        <v/>
      </c>
    </row>
    <row r="61">
      <c r="A61" s="58" t="n"/>
      <c r="B61" s="12" t="n"/>
      <c r="C61" s="12" t="n"/>
      <c r="D61" s="12" t="n"/>
      <c r="E61" s="12" t="n"/>
      <c r="F61" s="6" t="n"/>
      <c r="G61" s="12" t="n"/>
      <c r="H61" s="12" t="n"/>
      <c r="I61" s="13" t="n">
        <v>1</v>
      </c>
      <c r="J61" s="12" t="n"/>
      <c r="K61" s="59">
        <f>IFERROR(MATCH(H61,$P$5:$P$23,0)-1,-1)</f>
        <v/>
      </c>
    </row>
    <row r="62">
      <c r="A62" s="58" t="n"/>
      <c r="B62" s="12" t="n"/>
      <c r="C62" s="12" t="n"/>
      <c r="D62" s="12" t="n"/>
      <c r="E62" s="12" t="n"/>
      <c r="F62" s="6" t="n"/>
      <c r="G62" s="12" t="n"/>
      <c r="H62" s="12" t="n"/>
      <c r="I62" s="13" t="n">
        <v>1</v>
      </c>
      <c r="J62" s="12" t="n"/>
      <c r="K62" s="59">
        <f>IFERROR(MATCH(H62,$P$5:$P$23,0)-1,-1)</f>
        <v/>
      </c>
    </row>
    <row r="63">
      <c r="A63" s="58" t="n"/>
      <c r="B63" s="12" t="n"/>
      <c r="C63" s="12" t="n"/>
      <c r="D63" s="12" t="n"/>
      <c r="E63" s="12" t="n"/>
      <c r="F63" s="6" t="n"/>
      <c r="G63" s="12" t="n"/>
      <c r="H63" s="12" t="n"/>
      <c r="I63" s="13" t="n">
        <v>1</v>
      </c>
      <c r="J63" s="12" t="n"/>
      <c r="K63" s="59">
        <f>IFERROR(MATCH(H63,$P$5:$P$23,0)-1,-1)</f>
        <v/>
      </c>
    </row>
    <row r="64">
      <c r="A64" s="58" t="n"/>
      <c r="B64" s="12" t="n"/>
      <c r="C64" s="12" t="n"/>
      <c r="D64" s="12" t="n"/>
      <c r="E64" s="12" t="n"/>
      <c r="F64" s="6" t="n"/>
      <c r="G64" s="12" t="n"/>
      <c r="H64" s="12" t="n"/>
      <c r="I64" s="13" t="n">
        <v>1</v>
      </c>
      <c r="J64" s="12" t="n"/>
      <c r="K64" s="59">
        <f>IFERROR(MATCH(H64,$P$5:$P$23,0)-1,-1)</f>
        <v/>
      </c>
    </row>
    <row r="65">
      <c r="A65" s="58" t="n"/>
      <c r="B65" s="12" t="n"/>
      <c r="C65" s="12" t="n"/>
      <c r="D65" s="12" t="n"/>
      <c r="E65" s="12" t="n"/>
      <c r="F65" s="6" t="n"/>
      <c r="G65" s="12" t="n"/>
      <c r="H65" s="12" t="n"/>
      <c r="I65" s="13" t="n">
        <v>1</v>
      </c>
      <c r="J65" s="12" t="n"/>
      <c r="K65" s="59">
        <f>IFERROR(MATCH(H65,$P$5:$P$23,0)-1,-1)</f>
        <v/>
      </c>
    </row>
    <row r="66">
      <c r="A66" s="58" t="n"/>
      <c r="B66" s="12" t="n"/>
      <c r="C66" s="12" t="n"/>
      <c r="D66" s="12" t="n"/>
      <c r="E66" s="12" t="n"/>
      <c r="F66" s="6" t="n"/>
      <c r="G66" s="12" t="n"/>
      <c r="H66" s="12" t="n"/>
      <c r="I66" s="13" t="n">
        <v>1</v>
      </c>
      <c r="J66" s="12" t="n"/>
      <c r="K66" s="59">
        <f>IFERROR(MATCH(H66,$P$5:$P$23,0)-1,-1)</f>
        <v/>
      </c>
    </row>
    <row r="67">
      <c r="A67" s="58" t="n"/>
      <c r="B67" s="12" t="n"/>
      <c r="C67" s="12" t="n"/>
      <c r="D67" s="12" t="n"/>
      <c r="E67" s="12" t="n"/>
      <c r="F67" s="6" t="n"/>
      <c r="G67" s="12" t="n"/>
      <c r="H67" s="12" t="n"/>
      <c r="I67" s="13" t="n">
        <v>1</v>
      </c>
      <c r="J67" s="12" t="n"/>
      <c r="K67" s="59">
        <f>IFERROR(MATCH(H67,$P$5:$P$23,0)-1,-1)</f>
        <v/>
      </c>
    </row>
    <row r="68">
      <c r="A68" s="58" t="n"/>
      <c r="B68" s="12" t="n"/>
      <c r="C68" s="12" t="n"/>
      <c r="D68" s="12" t="n"/>
      <c r="E68" s="12" t="n"/>
      <c r="F68" s="6" t="n"/>
      <c r="G68" s="12" t="n"/>
      <c r="H68" s="12" t="n"/>
      <c r="I68" s="13" t="n">
        <v>1</v>
      </c>
      <c r="J68" s="12" t="n"/>
      <c r="K68" s="59">
        <f>IFERROR(MATCH(H68,$P$5:$P$23,0)-1,-1)</f>
        <v/>
      </c>
    </row>
    <row r="69">
      <c r="A69" s="58" t="n"/>
      <c r="B69" s="12" t="n"/>
      <c r="C69" s="12" t="n"/>
      <c r="D69" s="12" t="n"/>
      <c r="E69" s="12" t="n"/>
      <c r="F69" s="6" t="n"/>
      <c r="G69" s="12" t="n"/>
      <c r="H69" s="12" t="n"/>
      <c r="I69" s="13" t="n">
        <v>1</v>
      </c>
      <c r="J69" s="12" t="n"/>
      <c r="K69" s="59">
        <f>IFERROR(MATCH(H69,$P$5:$P$23,0)-1,-1)</f>
        <v/>
      </c>
    </row>
    <row r="70">
      <c r="A70" s="58" t="n"/>
      <c r="B70" s="12" t="n"/>
      <c r="C70" s="12" t="n"/>
      <c r="D70" s="12" t="n"/>
      <c r="E70" s="12" t="n"/>
      <c r="F70" s="6" t="n"/>
      <c r="G70" s="12" t="n"/>
      <c r="H70" s="12" t="n"/>
      <c r="I70" s="13" t="n">
        <v>1</v>
      </c>
      <c r="J70" s="12" t="n"/>
      <c r="K70" s="59">
        <f>IFERROR(MATCH(H70,$P$5:$P$23,0)-1,-1)</f>
        <v/>
      </c>
    </row>
    <row r="71">
      <c r="A71" s="58" t="n"/>
      <c r="B71" s="12" t="n"/>
      <c r="C71" s="12" t="n"/>
      <c r="D71" s="12" t="n"/>
      <c r="E71" s="12" t="n"/>
      <c r="F71" s="6" t="n"/>
      <c r="G71" s="12" t="n"/>
      <c r="H71" s="12" t="n"/>
      <c r="I71" s="13" t="n">
        <v>1</v>
      </c>
      <c r="J71" s="12" t="n"/>
      <c r="K71" s="59">
        <f>IFERROR(MATCH(H71,$P$5:$P$23,0)-1,-1)</f>
        <v/>
      </c>
    </row>
    <row r="72">
      <c r="A72" s="58" t="n"/>
      <c r="B72" s="12" t="n"/>
      <c r="C72" s="12" t="n"/>
      <c r="D72" s="12" t="n"/>
      <c r="E72" s="12" t="n"/>
      <c r="F72" s="6" t="n"/>
      <c r="G72" s="12" t="n"/>
      <c r="H72" s="12" t="n"/>
      <c r="I72" s="13" t="n">
        <v>1</v>
      </c>
      <c r="J72" s="12" t="n"/>
      <c r="K72" s="59">
        <f>IFERROR(MATCH(H72,$P$5:$P$23,0)-1,-1)</f>
        <v/>
      </c>
    </row>
    <row r="73">
      <c r="A73" s="58" t="n"/>
      <c r="B73" s="12" t="n"/>
      <c r="C73" s="12" t="n"/>
      <c r="D73" s="12" t="n"/>
      <c r="E73" s="12" t="n"/>
      <c r="F73" s="6" t="n"/>
      <c r="G73" s="12" t="n"/>
      <c r="H73" s="12" t="n"/>
      <c r="I73" s="13" t="n">
        <v>1</v>
      </c>
      <c r="J73" s="12" t="n"/>
      <c r="K73" s="59">
        <f>IFERROR(MATCH(H73,$P$5:$P$23,0)-1,-1)</f>
        <v/>
      </c>
    </row>
    <row r="74">
      <c r="A74" s="58" t="n"/>
      <c r="B74" s="12" t="n"/>
      <c r="C74" s="12" t="n"/>
      <c r="D74" s="12" t="n"/>
      <c r="E74" s="12" t="n"/>
      <c r="F74" s="6" t="n"/>
      <c r="G74" s="12" t="n"/>
      <c r="H74" s="12" t="n"/>
      <c r="I74" s="13" t="n">
        <v>1</v>
      </c>
      <c r="J74" s="12" t="n"/>
      <c r="K74" s="59">
        <f>IFERROR(MATCH(H74,$P$5:$P$23,0)-1,-1)</f>
        <v/>
      </c>
    </row>
    <row r="75">
      <c r="A75" s="58" t="n"/>
      <c r="B75" s="12" t="n"/>
      <c r="C75" s="12" t="n"/>
      <c r="D75" s="12" t="n"/>
      <c r="E75" s="12" t="n"/>
      <c r="F75" s="6" t="n"/>
      <c r="G75" s="12" t="n"/>
      <c r="H75" s="12" t="n"/>
      <c r="I75" s="13" t="n">
        <v>1</v>
      </c>
      <c r="J75" s="12" t="n"/>
      <c r="K75" s="59">
        <f>IFERROR(MATCH(H75,$P$5:$P$23,0)-1,-1)</f>
        <v/>
      </c>
    </row>
    <row r="76">
      <c r="A76" s="58" t="n"/>
      <c r="B76" s="12" t="n"/>
      <c r="C76" s="12" t="n"/>
      <c r="D76" s="12" t="n"/>
      <c r="E76" s="12" t="n"/>
      <c r="F76" s="6" t="n"/>
      <c r="G76" s="12" t="n"/>
      <c r="H76" s="12" t="n"/>
      <c r="I76" s="13" t="n">
        <v>1</v>
      </c>
      <c r="J76" s="12" t="n"/>
      <c r="K76" s="59">
        <f>IFERROR(MATCH(H76,$P$5:$P$23,0)-1,-1)</f>
        <v/>
      </c>
    </row>
    <row r="77">
      <c r="A77" s="58" t="n"/>
      <c r="B77" s="12" t="n"/>
      <c r="C77" s="12" t="n"/>
      <c r="D77" s="12" t="n"/>
      <c r="E77" s="12" t="n"/>
      <c r="F77" s="6" t="n"/>
      <c r="G77" s="12" t="n"/>
      <c r="H77" s="12" t="n"/>
      <c r="I77" s="13" t="n">
        <v>1</v>
      </c>
      <c r="J77" s="12" t="n"/>
      <c r="K77" s="59">
        <f>IFERROR(MATCH(H77,$P$5:$P$23,0)-1,-1)</f>
        <v/>
      </c>
    </row>
    <row r="78">
      <c r="A78" s="58" t="n"/>
      <c r="B78" s="12" t="n"/>
      <c r="C78" s="12" t="n"/>
      <c r="D78" s="12" t="n"/>
      <c r="E78" s="12" t="n"/>
      <c r="F78" s="6" t="n"/>
      <c r="G78" s="12" t="n"/>
      <c r="H78" s="12" t="n"/>
      <c r="I78" s="13" t="n">
        <v>1</v>
      </c>
      <c r="J78" s="12" t="n"/>
      <c r="K78" s="59">
        <f>IFERROR(MATCH(H78,$P$5:$P$23,0)-1,-1)</f>
        <v/>
      </c>
    </row>
    <row r="79">
      <c r="A79" s="58" t="n"/>
      <c r="B79" s="12" t="n"/>
      <c r="C79" s="12" t="n"/>
      <c r="D79" s="12" t="n"/>
      <c r="E79" s="12" t="n"/>
      <c r="F79" s="6" t="n"/>
      <c r="G79" s="12" t="n"/>
      <c r="H79" s="12" t="n"/>
      <c r="I79" s="13" t="n">
        <v>1</v>
      </c>
      <c r="J79" s="12" t="n"/>
      <c r="K79" s="59">
        <f>IFERROR(MATCH(H79,$P$5:$P$23,0)-1,-1)</f>
        <v/>
      </c>
    </row>
    <row r="80">
      <c r="A80" s="58" t="n"/>
      <c r="B80" s="12" t="n"/>
      <c r="C80" s="12" t="n"/>
      <c r="D80" s="12" t="n"/>
      <c r="E80" s="12" t="n"/>
      <c r="F80" s="6" t="n"/>
      <c r="G80" s="12" t="n"/>
      <c r="H80" s="12" t="n"/>
      <c r="I80" s="13" t="n">
        <v>1</v>
      </c>
      <c r="J80" s="12" t="n"/>
      <c r="K80" s="59">
        <f>IFERROR(MATCH(H80,$P$5:$P$23,0)-1,-1)</f>
        <v/>
      </c>
    </row>
    <row r="81">
      <c r="A81" s="58" t="n"/>
      <c r="B81" s="12" t="n"/>
      <c r="C81" s="12" t="n"/>
      <c r="D81" s="12" t="n"/>
      <c r="E81" s="12" t="n"/>
      <c r="F81" s="6" t="n"/>
      <c r="G81" s="12" t="n"/>
      <c r="H81" s="12" t="n"/>
      <c r="I81" s="13" t="n">
        <v>1</v>
      </c>
      <c r="J81" s="12" t="n"/>
      <c r="K81" s="59">
        <f>IFERROR(MATCH(H81,$P$5:$P$23,0)-1,-1)</f>
        <v/>
      </c>
    </row>
    <row r="82">
      <c r="A82" s="58" t="n"/>
      <c r="B82" s="12" t="n"/>
      <c r="C82" s="12" t="n"/>
      <c r="D82" s="12" t="n"/>
      <c r="E82" s="12" t="n"/>
      <c r="F82" s="6" t="n"/>
      <c r="G82" s="12" t="n"/>
      <c r="H82" s="12" t="n"/>
      <c r="I82" s="13" t="n">
        <v>1</v>
      </c>
      <c r="J82" s="12" t="n"/>
      <c r="K82" s="59">
        <f>IFERROR(MATCH(H82,$P$5:$P$23,0)-1,-1)</f>
        <v/>
      </c>
    </row>
    <row r="83">
      <c r="A83" s="58" t="n"/>
      <c r="B83" s="12" t="n"/>
      <c r="C83" s="12" t="n"/>
      <c r="D83" s="12" t="n"/>
      <c r="E83" s="12" t="n"/>
      <c r="F83" s="6" t="n"/>
      <c r="G83" s="12" t="n"/>
      <c r="H83" s="12" t="n"/>
      <c r="I83" s="13" t="n">
        <v>1</v>
      </c>
      <c r="J83" s="12" t="n"/>
      <c r="K83" s="59">
        <f>IFERROR(MATCH(H83,$P$5:$P$23,0)-1,-1)</f>
        <v/>
      </c>
    </row>
    <row r="84">
      <c r="A84" s="58" t="n"/>
      <c r="B84" s="12" t="n"/>
      <c r="C84" s="12" t="n"/>
      <c r="D84" s="12" t="n"/>
      <c r="E84" s="12" t="n"/>
      <c r="F84" s="6" t="n"/>
      <c r="G84" s="12" t="n"/>
      <c r="H84" s="12" t="n"/>
      <c r="I84" s="13" t="n">
        <v>1</v>
      </c>
      <c r="J84" s="12" t="n"/>
      <c r="K84" s="59">
        <f>IFERROR(MATCH(H84,$P$5:$P$23,0)-1,-1)</f>
        <v/>
      </c>
    </row>
    <row r="85">
      <c r="A85" s="58" t="n"/>
      <c r="B85" s="12" t="n"/>
      <c r="C85" s="12" t="n"/>
      <c r="D85" s="12" t="n"/>
      <c r="E85" s="12" t="n"/>
      <c r="F85" s="6" t="n"/>
      <c r="G85" s="12" t="n"/>
      <c r="H85" s="12" t="n"/>
      <c r="I85" s="13" t="n">
        <v>1</v>
      </c>
      <c r="J85" s="12" t="n"/>
      <c r="K85" s="59">
        <f>IFERROR(MATCH(H85,$P$5:$P$23,0)-1,-1)</f>
        <v/>
      </c>
    </row>
    <row r="86">
      <c r="A86" s="58" t="n"/>
      <c r="B86" s="12" t="n"/>
      <c r="C86" s="12" t="n"/>
      <c r="D86" s="12" t="n"/>
      <c r="E86" s="12" t="n"/>
      <c r="F86" s="6" t="n"/>
      <c r="G86" s="12" t="n"/>
      <c r="H86" s="12" t="n"/>
      <c r="I86" s="13" t="n">
        <v>1</v>
      </c>
      <c r="J86" s="12" t="n"/>
      <c r="K86" s="59">
        <f>IFERROR(MATCH(H86,$P$5:$P$23,0)-1,-1)</f>
        <v/>
      </c>
    </row>
    <row r="87">
      <c r="A87" s="58" t="n"/>
      <c r="B87" s="12" t="n"/>
      <c r="C87" s="12" t="n"/>
      <c r="D87" s="12" t="n"/>
      <c r="E87" s="12" t="n"/>
      <c r="F87" s="6" t="n"/>
      <c r="G87" s="12" t="n"/>
      <c r="H87" s="12" t="n"/>
      <c r="I87" s="13" t="n">
        <v>1</v>
      </c>
      <c r="J87" s="12" t="n"/>
      <c r="K87" s="59">
        <f>IFERROR(MATCH(H87,$P$5:$P$23,0)-1,-1)</f>
        <v/>
      </c>
    </row>
    <row r="88">
      <c r="A88" s="58" t="n"/>
      <c r="B88" s="12" t="n"/>
      <c r="C88" s="12" t="n"/>
      <c r="D88" s="12" t="n"/>
      <c r="E88" s="12" t="n"/>
      <c r="F88" s="6" t="n"/>
      <c r="G88" s="12" t="n"/>
      <c r="H88" s="12" t="n"/>
      <c r="I88" s="13" t="n">
        <v>1</v>
      </c>
      <c r="J88" s="12" t="n"/>
      <c r="K88" s="59">
        <f>IFERROR(MATCH(H88,$P$5:$P$23,0)-1,-1)</f>
        <v/>
      </c>
    </row>
    <row r="89">
      <c r="A89" s="58" t="n"/>
      <c r="B89" s="12" t="n"/>
      <c r="C89" s="12" t="n"/>
      <c r="D89" s="12" t="n"/>
      <c r="E89" s="12" t="n"/>
      <c r="F89" s="6" t="n"/>
      <c r="G89" s="12" t="n"/>
      <c r="H89" s="12" t="n"/>
      <c r="I89" s="13" t="n">
        <v>1</v>
      </c>
      <c r="J89" s="12" t="n"/>
      <c r="K89" s="59">
        <f>IFERROR(MATCH(H89,$P$5:$P$23,0)-1,-1)</f>
        <v/>
      </c>
    </row>
    <row r="90">
      <c r="A90" s="58" t="n"/>
      <c r="B90" s="12" t="n"/>
      <c r="C90" s="12" t="n"/>
      <c r="D90" s="12" t="n"/>
      <c r="E90" s="12" t="n"/>
      <c r="F90" s="6" t="n"/>
      <c r="G90" s="12" t="n"/>
      <c r="H90" s="12" t="n"/>
      <c r="I90" s="13" t="n">
        <v>1</v>
      </c>
      <c r="J90" s="12" t="n"/>
      <c r="K90" s="59">
        <f>IFERROR(MATCH(H90,$P$5:$P$23,0)-1,-1)</f>
        <v/>
      </c>
    </row>
    <row r="91">
      <c r="A91" s="58" t="n"/>
      <c r="B91" s="12" t="n"/>
      <c r="C91" s="12" t="n"/>
      <c r="D91" s="12" t="n"/>
      <c r="E91" s="12" t="n"/>
      <c r="F91" s="6" t="n"/>
      <c r="G91" s="12" t="n"/>
      <c r="H91" s="12" t="n"/>
      <c r="I91" s="13" t="n">
        <v>1</v>
      </c>
      <c r="J91" s="12" t="n"/>
      <c r="K91" s="59">
        <f>IFERROR(MATCH(H91,$P$5:$P$23,0)-1,-1)</f>
        <v/>
      </c>
    </row>
    <row r="92">
      <c r="A92" s="58" t="n"/>
      <c r="B92" s="12" t="n"/>
      <c r="C92" s="12" t="n"/>
      <c r="D92" s="12" t="n"/>
      <c r="E92" s="12" t="n"/>
      <c r="F92" s="6" t="n"/>
      <c r="G92" s="12" t="n"/>
      <c r="H92" s="12" t="n"/>
      <c r="I92" s="13" t="n">
        <v>1</v>
      </c>
      <c r="J92" s="12" t="n"/>
      <c r="K92" s="59">
        <f>IFERROR(MATCH(H92,$P$5:$P$23,0)-1,-1)</f>
        <v/>
      </c>
    </row>
    <row r="93">
      <c r="A93" s="58" t="n"/>
      <c r="B93" s="12" t="n"/>
      <c r="C93" s="12" t="n"/>
      <c r="D93" s="12" t="n"/>
      <c r="E93" s="12" t="n"/>
      <c r="F93" s="6" t="n"/>
      <c r="G93" s="12" t="n"/>
      <c r="H93" s="12" t="n"/>
      <c r="I93" s="13" t="n">
        <v>1</v>
      </c>
      <c r="J93" s="12" t="n"/>
      <c r="K93" s="59">
        <f>IFERROR(MATCH(H93,$P$5:$P$23,0)-1,-1)</f>
        <v/>
      </c>
    </row>
    <row r="94">
      <c r="A94" s="58" t="n"/>
      <c r="B94" s="12" t="n"/>
      <c r="C94" s="12" t="n"/>
      <c r="D94" s="12" t="n"/>
      <c r="E94" s="12" t="n"/>
      <c r="F94" s="6" t="n"/>
      <c r="G94" s="12" t="n"/>
      <c r="H94" s="12" t="n"/>
      <c r="I94" s="13" t="n">
        <v>1</v>
      </c>
      <c r="J94" s="12" t="n"/>
      <c r="K94" s="59">
        <f>IFERROR(MATCH(H94,$P$5:$P$23,0)-1,-1)</f>
        <v/>
      </c>
    </row>
    <row r="95">
      <c r="A95" s="58" t="n"/>
      <c r="B95" s="12" t="n"/>
      <c r="C95" s="12" t="n"/>
      <c r="D95" s="12" t="n"/>
      <c r="E95" s="12" t="n"/>
      <c r="F95" s="6" t="n"/>
      <c r="G95" s="12" t="n"/>
      <c r="H95" s="12" t="n"/>
      <c r="I95" s="13" t="n">
        <v>1</v>
      </c>
      <c r="J95" s="12" t="n"/>
      <c r="K95" s="59">
        <f>IFERROR(MATCH(H95,$P$5:$P$23,0)-1,-1)</f>
        <v/>
      </c>
    </row>
    <row r="96">
      <c r="A96" s="58" t="n"/>
      <c r="B96" s="12" t="n"/>
      <c r="C96" s="12" t="n"/>
      <c r="D96" s="12" t="n"/>
      <c r="E96" s="12" t="n"/>
      <c r="F96" s="6" t="n"/>
      <c r="G96" s="12" t="n"/>
      <c r="H96" s="12" t="n"/>
      <c r="I96" s="13" t="n">
        <v>1</v>
      </c>
      <c r="J96" s="12" t="n"/>
      <c r="K96" s="59">
        <f>IFERROR(MATCH(H96,$P$5:$P$23,0)-1,-1)</f>
        <v/>
      </c>
    </row>
    <row r="97">
      <c r="A97" s="58" t="n"/>
      <c r="B97" s="12" t="n"/>
      <c r="C97" s="12" t="n"/>
      <c r="D97" s="12" t="n"/>
      <c r="E97" s="12" t="n"/>
      <c r="F97" s="6" t="n"/>
      <c r="G97" s="12" t="n"/>
      <c r="H97" s="12" t="n"/>
      <c r="I97" s="13" t="n">
        <v>1</v>
      </c>
      <c r="J97" s="12" t="n"/>
      <c r="K97" s="59">
        <f>IFERROR(MATCH(H97,$P$5:$P$23,0)-1,-1)</f>
        <v/>
      </c>
    </row>
    <row r="98">
      <c r="A98" s="58" t="n"/>
      <c r="B98" s="12" t="n"/>
      <c r="C98" s="12" t="n"/>
      <c r="D98" s="12" t="n"/>
      <c r="E98" s="12" t="n"/>
      <c r="F98" s="6" t="n"/>
      <c r="G98" s="12" t="n"/>
      <c r="H98" s="12" t="n"/>
      <c r="I98" s="13" t="n">
        <v>1</v>
      </c>
      <c r="J98" s="12" t="n"/>
      <c r="K98" s="59">
        <f>IFERROR(MATCH(H98,$P$5:$P$23,0)-1,-1)</f>
        <v/>
      </c>
    </row>
    <row r="99">
      <c r="A99" s="58" t="n"/>
      <c r="B99" s="12" t="n"/>
      <c r="C99" s="12" t="n"/>
      <c r="D99" s="12" t="n"/>
      <c r="E99" s="12" t="n"/>
      <c r="F99" s="6" t="n"/>
      <c r="G99" s="12" t="n"/>
      <c r="H99" s="12" t="n"/>
      <c r="I99" s="13" t="n">
        <v>1</v>
      </c>
      <c r="J99" s="12" t="n"/>
      <c r="K99" s="59">
        <f>IFERROR(MATCH(H99,$P$5:$P$23,0)-1,-1)</f>
        <v/>
      </c>
    </row>
    <row r="100">
      <c r="A100" s="58" t="n"/>
      <c r="B100" s="12" t="n"/>
      <c r="C100" s="12" t="n"/>
      <c r="D100" s="12" t="n"/>
      <c r="E100" s="12" t="n"/>
      <c r="F100" s="6" t="n"/>
      <c r="G100" s="12" t="n"/>
      <c r="H100" s="12" t="n"/>
      <c r="I100" s="13" t="n">
        <v>1</v>
      </c>
      <c r="J100" s="12" t="n"/>
      <c r="K100" s="59">
        <f>IFERROR(MATCH(H100,$P$5:$P$23,0)-1,-1)</f>
        <v/>
      </c>
    </row>
    <row r="101">
      <c r="A101" s="58" t="n"/>
      <c r="B101" s="12" t="n"/>
      <c r="C101" s="12" t="n"/>
      <c r="D101" s="12" t="n"/>
      <c r="E101" s="12" t="n"/>
      <c r="F101" s="6" t="n"/>
      <c r="G101" s="12" t="n"/>
      <c r="H101" s="12" t="n"/>
      <c r="I101" s="13" t="n">
        <v>1</v>
      </c>
      <c r="J101" s="12" t="n"/>
      <c r="K101" s="59">
        <f>IFERROR(MATCH(H101,$P$5:$P$23,0)-1,-1)</f>
        <v/>
      </c>
    </row>
    <row r="102">
      <c r="A102" s="58" t="n"/>
      <c r="B102" s="12" t="n"/>
      <c r="C102" s="12" t="n"/>
      <c r="D102" s="12" t="n"/>
      <c r="E102" s="12" t="n"/>
      <c r="F102" s="6" t="n"/>
      <c r="G102" s="12" t="n"/>
      <c r="H102" s="12" t="n"/>
      <c r="I102" s="13" t="n">
        <v>1</v>
      </c>
      <c r="J102" s="12" t="n"/>
      <c r="K102" s="59">
        <f>IFERROR(MATCH(H102,$P$5:$P$23,0)-1,-1)</f>
        <v/>
      </c>
    </row>
    <row r="103">
      <c r="A103" s="58" t="n"/>
      <c r="B103" s="12" t="n"/>
      <c r="C103" s="12" t="n"/>
      <c r="D103" s="12" t="n"/>
      <c r="E103" s="12" t="n"/>
      <c r="F103" s="6" t="n"/>
      <c r="G103" s="12" t="n"/>
      <c r="H103" s="12" t="n"/>
      <c r="I103" s="13" t="n">
        <v>1</v>
      </c>
      <c r="J103" s="12" t="n"/>
      <c r="K103" s="59">
        <f>IFERROR(MATCH(H103,$P$5:$P$23,0)-1,-1)</f>
        <v/>
      </c>
    </row>
    <row r="104">
      <c r="A104" s="58" t="n"/>
      <c r="B104" s="12" t="n"/>
      <c r="C104" s="12" t="n"/>
      <c r="D104" s="12" t="n"/>
      <c r="E104" s="12" t="n"/>
      <c r="F104" s="6" t="n"/>
      <c r="G104" s="12" t="n"/>
      <c r="H104" s="12" t="n"/>
      <c r="I104" s="13" t="n">
        <v>1</v>
      </c>
      <c r="J104" s="12" t="n"/>
      <c r="K104" s="59">
        <f>IFERROR(MATCH(H104,$P$5:$P$23,0)-1,-1)</f>
        <v/>
      </c>
    </row>
    <row r="105">
      <c r="A105" s="58" t="n"/>
      <c r="B105" s="12" t="n"/>
      <c r="C105" s="12" t="n"/>
      <c r="D105" s="12" t="n"/>
      <c r="E105" s="12" t="n"/>
      <c r="F105" s="6" t="n"/>
      <c r="G105" s="12" t="n"/>
      <c r="H105" s="12" t="n"/>
      <c r="I105" s="13" t="n">
        <v>1</v>
      </c>
      <c r="J105" s="12" t="n"/>
      <c r="K105" s="59">
        <f>IFERROR(MATCH(H105,$P$5:$P$23,0)-1,-1)</f>
        <v/>
      </c>
    </row>
    <row r="106">
      <c r="A106" s="58" t="n"/>
      <c r="B106" s="12" t="n"/>
      <c r="C106" s="12" t="n"/>
      <c r="D106" s="12" t="n"/>
      <c r="E106" s="12" t="n"/>
      <c r="F106" s="6" t="n"/>
      <c r="G106" s="12" t="n"/>
      <c r="H106" s="12" t="n"/>
      <c r="I106" s="13" t="n">
        <v>1</v>
      </c>
      <c r="J106" s="12" t="n"/>
      <c r="K106" s="59">
        <f>IFERROR(MATCH(H106,$P$5:$P$23,0)-1,-1)</f>
        <v/>
      </c>
    </row>
    <row r="107">
      <c r="A107" s="58" t="n"/>
      <c r="B107" s="12" t="n"/>
      <c r="C107" s="12" t="n"/>
      <c r="D107" s="12" t="n"/>
      <c r="E107" s="12" t="n"/>
      <c r="F107" s="6" t="n"/>
      <c r="G107" s="12" t="n"/>
      <c r="H107" s="12" t="n"/>
      <c r="I107" s="13" t="n">
        <v>1</v>
      </c>
      <c r="J107" s="12" t="n"/>
      <c r="K107" s="59">
        <f>IFERROR(MATCH(H107,$P$5:$P$23,0)-1,-1)</f>
        <v/>
      </c>
    </row>
    <row r="108">
      <c r="A108" s="58" t="n"/>
      <c r="B108" s="12" t="n"/>
      <c r="C108" s="12" t="n"/>
      <c r="D108" s="12" t="n"/>
      <c r="E108" s="12" t="n"/>
      <c r="F108" s="6" t="n"/>
      <c r="G108" s="12" t="n"/>
      <c r="H108" s="12" t="n"/>
      <c r="I108" s="13" t="n">
        <v>1</v>
      </c>
      <c r="J108" s="12" t="n"/>
      <c r="K108" s="59">
        <f>IFERROR(MATCH(H108,$P$5:$P$23,0)-1,-1)</f>
        <v/>
      </c>
    </row>
    <row r="109">
      <c r="A109" s="58" t="n"/>
      <c r="B109" s="12" t="n"/>
      <c r="C109" s="12" t="n"/>
      <c r="D109" s="12" t="n"/>
      <c r="E109" s="12" t="n"/>
      <c r="F109" s="6" t="n"/>
      <c r="G109" s="12" t="n"/>
      <c r="H109" s="12" t="n"/>
      <c r="I109" s="13" t="n">
        <v>1</v>
      </c>
      <c r="J109" s="12" t="n"/>
      <c r="K109" s="59">
        <f>IFERROR(MATCH(H109,$P$5:$P$23,0)-1,-1)</f>
        <v/>
      </c>
    </row>
    <row r="110">
      <c r="A110" s="58" t="n"/>
      <c r="B110" s="12" t="n"/>
      <c r="C110" s="12" t="n"/>
      <c r="D110" s="12" t="n"/>
      <c r="E110" s="12" t="n"/>
      <c r="F110" s="6" t="n"/>
      <c r="G110" s="12" t="n"/>
      <c r="H110" s="12" t="n"/>
      <c r="I110" s="13" t="n">
        <v>1</v>
      </c>
      <c r="J110" s="12" t="n"/>
      <c r="K110" s="59">
        <f>IFERROR(MATCH(H110,$P$5:$P$23,0)-1,-1)</f>
        <v/>
      </c>
    </row>
    <row r="111">
      <c r="A111" s="58" t="n"/>
      <c r="B111" s="12" t="n"/>
      <c r="C111" s="12" t="n"/>
      <c r="D111" s="12" t="n"/>
      <c r="E111" s="12" t="n"/>
      <c r="F111" s="6" t="n"/>
      <c r="G111" s="12" t="n"/>
      <c r="H111" s="12" t="n"/>
      <c r="I111" s="13" t="n">
        <v>1</v>
      </c>
      <c r="J111" s="12" t="n"/>
      <c r="K111" s="59">
        <f>IFERROR(MATCH(H111,$P$5:$P$23,0)-1,-1)</f>
        <v/>
      </c>
    </row>
    <row r="112">
      <c r="A112" s="58" t="n"/>
      <c r="B112" s="12" t="n"/>
      <c r="C112" s="12" t="n"/>
      <c r="D112" s="12" t="n"/>
      <c r="E112" s="12" t="n"/>
      <c r="F112" s="6" t="n"/>
      <c r="G112" s="12" t="n"/>
      <c r="H112" s="12" t="n"/>
      <c r="I112" s="13" t="n">
        <v>1</v>
      </c>
      <c r="J112" s="12" t="n"/>
      <c r="K112" s="59">
        <f>IFERROR(MATCH(H112,$P$5:$P$23,0)-1,-1)</f>
        <v/>
      </c>
    </row>
    <row r="113">
      <c r="A113" s="58" t="n"/>
      <c r="B113" s="12" t="n"/>
      <c r="C113" s="12" t="n"/>
      <c r="D113" s="12" t="n"/>
      <c r="E113" s="12" t="n"/>
      <c r="F113" s="6" t="n"/>
      <c r="G113" s="12" t="n"/>
      <c r="H113" s="12" t="n"/>
      <c r="I113" s="13" t="n">
        <v>1</v>
      </c>
      <c r="J113" s="12" t="n"/>
      <c r="K113" s="59">
        <f>IFERROR(MATCH(H113,$P$5:$P$23,0)-1,-1)</f>
        <v/>
      </c>
    </row>
    <row r="114">
      <c r="A114" s="58" t="n"/>
      <c r="B114" s="12" t="n"/>
      <c r="C114" s="12" t="n"/>
      <c r="D114" s="12" t="n"/>
      <c r="E114" s="12" t="n"/>
      <c r="F114" s="6" t="n"/>
      <c r="G114" s="12" t="n"/>
      <c r="H114" s="12" t="n"/>
      <c r="I114" s="13" t="n">
        <v>1</v>
      </c>
      <c r="J114" s="12" t="n"/>
      <c r="K114" s="59">
        <f>IFERROR(MATCH(H114,$P$5:$P$23,0)-1,-1)</f>
        <v/>
      </c>
    </row>
    <row r="115">
      <c r="A115" s="58" t="n"/>
      <c r="B115" s="12" t="n"/>
      <c r="C115" s="12" t="n"/>
      <c r="D115" s="12" t="n"/>
      <c r="E115" s="12" t="n"/>
      <c r="F115" s="6" t="n"/>
      <c r="G115" s="12" t="n"/>
      <c r="H115" s="12" t="n"/>
      <c r="I115" s="13" t="n">
        <v>1</v>
      </c>
      <c r="J115" s="12" t="n"/>
      <c r="K115" s="59">
        <f>IFERROR(MATCH(H115,$P$5:$P$23,0)-1,-1)</f>
        <v/>
      </c>
    </row>
    <row r="116">
      <c r="A116" s="58" t="n"/>
      <c r="B116" s="12" t="n"/>
      <c r="C116" s="12" t="n"/>
      <c r="D116" s="12" t="n"/>
      <c r="E116" s="12" t="n"/>
      <c r="F116" s="6" t="n"/>
      <c r="G116" s="12" t="n"/>
      <c r="H116" s="12" t="n"/>
      <c r="I116" s="13" t="n">
        <v>1</v>
      </c>
      <c r="J116" s="12" t="n"/>
      <c r="K116" s="59">
        <f>IFERROR(MATCH(H116,$P$5:$P$23,0)-1,-1)</f>
        <v/>
      </c>
    </row>
    <row r="117">
      <c r="A117" s="58" t="n"/>
      <c r="B117" s="12" t="n"/>
      <c r="C117" s="12" t="n"/>
      <c r="D117" s="12" t="n"/>
      <c r="E117" s="12" t="n"/>
      <c r="F117" s="6" t="n"/>
      <c r="G117" s="12" t="n"/>
      <c r="H117" s="12" t="n"/>
      <c r="I117" s="13" t="n">
        <v>1</v>
      </c>
      <c r="J117" s="12" t="n"/>
      <c r="K117" s="59">
        <f>IFERROR(MATCH(H117,$P$5:$P$23,0)-1,-1)</f>
        <v/>
      </c>
    </row>
    <row r="118">
      <c r="A118" s="58" t="n"/>
      <c r="B118" s="12" t="n"/>
      <c r="C118" s="12" t="n"/>
      <c r="D118" s="12" t="n"/>
      <c r="E118" s="12" t="n"/>
      <c r="F118" s="6" t="n"/>
      <c r="G118" s="12" t="n"/>
      <c r="H118" s="12" t="n"/>
      <c r="I118" s="13" t="n">
        <v>1</v>
      </c>
      <c r="J118" s="12" t="n"/>
      <c r="K118" s="59">
        <f>IFERROR(MATCH(H118,$P$5:$P$23,0)-1,-1)</f>
        <v/>
      </c>
    </row>
    <row r="119">
      <c r="A119" s="58" t="n"/>
      <c r="B119" s="12" t="n"/>
      <c r="C119" s="12" t="n"/>
      <c r="D119" s="12" t="n"/>
      <c r="E119" s="12" t="n"/>
      <c r="F119" s="6" t="n"/>
      <c r="G119" s="12" t="n"/>
      <c r="H119" s="12" t="n"/>
      <c r="I119" s="13" t="n">
        <v>1</v>
      </c>
      <c r="J119" s="12" t="n"/>
      <c r="K119" s="59">
        <f>IFERROR(MATCH(H119,$P$5:$P$23,0)-1,-1)</f>
        <v/>
      </c>
    </row>
    <row r="120">
      <c r="A120" s="58" t="n"/>
      <c r="B120" s="12" t="n"/>
      <c r="C120" s="12" t="n"/>
      <c r="D120" s="12" t="n"/>
      <c r="E120" s="12" t="n"/>
      <c r="F120" s="6" t="n"/>
      <c r="G120" s="12" t="n"/>
      <c r="H120" s="12" t="n"/>
      <c r="I120" s="13" t="n">
        <v>1</v>
      </c>
      <c r="J120" s="12" t="n"/>
      <c r="K120" s="59">
        <f>IFERROR(MATCH(H120,$P$5:$P$23,0)-1,-1)</f>
        <v/>
      </c>
    </row>
    <row r="121">
      <c r="A121" s="58" t="n"/>
      <c r="B121" s="12" t="n"/>
      <c r="C121" s="12" t="n"/>
      <c r="D121" s="12" t="n"/>
      <c r="E121" s="12" t="n"/>
      <c r="F121" s="6" t="n"/>
      <c r="G121" s="12" t="n"/>
      <c r="H121" s="12" t="n"/>
      <c r="I121" s="13" t="n">
        <v>1</v>
      </c>
      <c r="J121" s="12" t="n"/>
      <c r="K121" s="59">
        <f>IFERROR(MATCH(H121,$P$5:$P$23,0)-1,-1)</f>
        <v/>
      </c>
    </row>
    <row r="122">
      <c r="A122" s="58" t="n"/>
      <c r="B122" s="12" t="n"/>
      <c r="C122" s="12" t="n"/>
      <c r="D122" s="12" t="n"/>
      <c r="E122" s="12" t="n"/>
      <c r="F122" s="6" t="n"/>
      <c r="G122" s="12" t="n"/>
      <c r="H122" s="12" t="n"/>
      <c r="I122" s="13" t="n">
        <v>1</v>
      </c>
      <c r="J122" s="12" t="n"/>
      <c r="K122" s="59">
        <f>IFERROR(MATCH(H122,$P$5:$P$23,0)-1,-1)</f>
        <v/>
      </c>
    </row>
    <row r="123">
      <c r="A123" s="58" t="n"/>
      <c r="B123" s="12" t="n"/>
      <c r="C123" s="12" t="n"/>
      <c r="D123" s="12" t="n"/>
      <c r="E123" s="12" t="n"/>
      <c r="F123" s="6" t="n"/>
      <c r="G123" s="12" t="n"/>
      <c r="H123" s="12" t="n"/>
      <c r="I123" s="13" t="n">
        <v>1</v>
      </c>
      <c r="J123" s="12" t="n"/>
      <c r="K123" s="59">
        <f>IFERROR(MATCH(H123,$P$5:$P$23,0)-1,-1)</f>
        <v/>
      </c>
    </row>
    <row r="124">
      <c r="A124" s="58" t="n"/>
      <c r="B124" s="12" t="n"/>
      <c r="C124" s="12" t="n"/>
      <c r="D124" s="12" t="n"/>
      <c r="E124" s="12" t="n"/>
      <c r="F124" s="6" t="n"/>
      <c r="G124" s="12" t="n"/>
      <c r="H124" s="12" t="n"/>
      <c r="I124" s="13" t="n">
        <v>1</v>
      </c>
      <c r="J124" s="12" t="n"/>
      <c r="K124" s="59">
        <f>IFERROR(MATCH(H124,$P$5:$P$23,0)-1,-1)</f>
        <v/>
      </c>
    </row>
    <row r="125">
      <c r="A125" s="58" t="n"/>
      <c r="B125" s="12" t="n"/>
      <c r="C125" s="12" t="n"/>
      <c r="D125" s="12" t="n"/>
      <c r="E125" s="12" t="n"/>
      <c r="F125" s="6" t="n"/>
      <c r="G125" s="12" t="n"/>
      <c r="H125" s="12" t="n"/>
      <c r="I125" s="13" t="n">
        <v>1</v>
      </c>
      <c r="J125" s="12" t="n"/>
      <c r="K125" s="59">
        <f>IFERROR(MATCH(H125,$P$5:$P$23,0)-1,-1)</f>
        <v/>
      </c>
    </row>
    <row r="126">
      <c r="A126" s="58" t="n"/>
      <c r="B126" s="12" t="n"/>
      <c r="C126" s="12" t="n"/>
      <c r="D126" s="12" t="n"/>
      <c r="E126" s="12" t="n"/>
      <c r="F126" s="6" t="n"/>
      <c r="G126" s="12" t="n"/>
      <c r="H126" s="12" t="n"/>
      <c r="I126" s="13" t="n">
        <v>1</v>
      </c>
      <c r="J126" s="12" t="n"/>
      <c r="K126" s="59">
        <f>IFERROR(MATCH(H126,$P$5:$P$23,0)-1,-1)</f>
        <v/>
      </c>
    </row>
    <row r="127">
      <c r="A127" s="58" t="n"/>
      <c r="B127" s="12" t="n"/>
      <c r="C127" s="12" t="n"/>
      <c r="D127" s="12" t="n"/>
      <c r="E127" s="12" t="n"/>
      <c r="F127" s="6" t="n"/>
      <c r="G127" s="12" t="n"/>
      <c r="H127" s="12" t="n"/>
      <c r="I127" s="13" t="n">
        <v>1</v>
      </c>
      <c r="J127" s="12" t="n"/>
      <c r="K127" s="59">
        <f>IFERROR(MATCH(H127,$P$5:$P$23,0)-1,-1)</f>
        <v/>
      </c>
    </row>
    <row r="128">
      <c r="A128" s="58" t="n"/>
      <c r="B128" s="12" t="n"/>
      <c r="C128" s="12" t="n"/>
      <c r="D128" s="12" t="n"/>
      <c r="E128" s="12" t="n"/>
      <c r="F128" s="6" t="n"/>
      <c r="G128" s="12" t="n"/>
      <c r="H128" s="12" t="n"/>
      <c r="I128" s="13" t="n">
        <v>1</v>
      </c>
      <c r="J128" s="12" t="n"/>
      <c r="K128" s="59">
        <f>IFERROR(MATCH(H128,$P$5:$P$23,0)-1,-1)</f>
        <v/>
      </c>
    </row>
    <row r="129">
      <c r="A129" s="58" t="n"/>
      <c r="B129" s="12" t="n"/>
      <c r="C129" s="12" t="n"/>
      <c r="D129" s="12" t="n"/>
      <c r="E129" s="12" t="n"/>
      <c r="F129" s="6" t="n"/>
      <c r="G129" s="12" t="n"/>
      <c r="H129" s="12" t="n"/>
      <c r="I129" s="13" t="n">
        <v>1</v>
      </c>
      <c r="J129" s="12" t="n"/>
      <c r="K129" s="59">
        <f>IFERROR(MATCH(H129,$P$5:$P$23,0)-1,-1)</f>
        <v/>
      </c>
    </row>
    <row r="130">
      <c r="A130" s="58" t="n"/>
      <c r="B130" s="12" t="n"/>
      <c r="C130" s="12" t="n"/>
      <c r="D130" s="12" t="n"/>
      <c r="E130" s="12" t="n"/>
      <c r="F130" s="6" t="n"/>
      <c r="G130" s="12" t="n"/>
      <c r="H130" s="12" t="n"/>
      <c r="I130" s="13" t="n">
        <v>1</v>
      </c>
      <c r="J130" s="12" t="n"/>
      <c r="K130" s="59">
        <f>IFERROR(MATCH(H130,$P$5:$P$23,0)-1,-1)</f>
        <v/>
      </c>
    </row>
    <row r="131">
      <c r="A131" s="58" t="n"/>
      <c r="B131" s="12" t="n"/>
      <c r="C131" s="12" t="n"/>
      <c r="D131" s="12" t="n"/>
      <c r="E131" s="12" t="n"/>
      <c r="F131" s="6" t="n"/>
      <c r="G131" s="12" t="n"/>
      <c r="H131" s="12" t="n"/>
      <c r="I131" s="13" t="n">
        <v>1</v>
      </c>
      <c r="J131" s="12" t="n"/>
      <c r="K131" s="59">
        <f>IFERROR(MATCH(H131,$P$5:$P$23,0)-1,-1)</f>
        <v/>
      </c>
    </row>
    <row r="132">
      <c r="A132" s="58" t="n"/>
      <c r="B132" s="12" t="n"/>
      <c r="C132" s="12" t="n"/>
      <c r="D132" s="12" t="n"/>
      <c r="E132" s="12" t="n"/>
      <c r="F132" s="6" t="n"/>
      <c r="G132" s="12" t="n"/>
      <c r="H132" s="12" t="n"/>
      <c r="I132" s="13" t="n">
        <v>1</v>
      </c>
      <c r="J132" s="12" t="n"/>
      <c r="K132" s="59">
        <f>IFERROR(MATCH(H132,$P$5:$P$23,0)-1,-1)</f>
        <v/>
      </c>
    </row>
    <row r="133">
      <c r="A133" s="58" t="n"/>
      <c r="B133" s="12" t="n"/>
      <c r="C133" s="12" t="n"/>
      <c r="D133" s="12" t="n"/>
      <c r="E133" s="12" t="n"/>
      <c r="F133" s="6" t="n"/>
      <c r="G133" s="12" t="n"/>
      <c r="H133" s="12" t="n"/>
      <c r="I133" s="13" t="n">
        <v>1</v>
      </c>
      <c r="J133" s="12" t="n"/>
      <c r="K133" s="59">
        <f>IFERROR(MATCH(H133,$P$5:$P$23,0)-1,-1)</f>
        <v/>
      </c>
    </row>
    <row r="134">
      <c r="A134" s="58" t="n"/>
      <c r="B134" s="12" t="n"/>
      <c r="C134" s="12" t="n"/>
      <c r="D134" s="12" t="n"/>
      <c r="E134" s="12" t="n"/>
      <c r="F134" s="6" t="n"/>
      <c r="G134" s="12" t="n"/>
      <c r="H134" s="12" t="n"/>
      <c r="I134" s="13" t="n">
        <v>1</v>
      </c>
      <c r="J134" s="12" t="n"/>
      <c r="K134" s="59">
        <f>IFERROR(MATCH(H134,$P$5:$P$23,0)-1,-1)</f>
        <v/>
      </c>
    </row>
    <row r="135">
      <c r="A135" s="58" t="n"/>
      <c r="B135" s="12" t="n"/>
      <c r="C135" s="12" t="n"/>
      <c r="D135" s="12" t="n"/>
      <c r="E135" s="12" t="n"/>
      <c r="F135" s="6" t="n"/>
      <c r="G135" s="12" t="n"/>
      <c r="H135" s="12" t="n"/>
      <c r="I135" s="13" t="n">
        <v>1</v>
      </c>
      <c r="J135" s="12" t="n"/>
      <c r="K135" s="59">
        <f>IFERROR(MATCH(H135,$P$5:$P$23,0)-1,-1)</f>
        <v/>
      </c>
    </row>
    <row r="136">
      <c r="A136" s="58" t="n"/>
      <c r="B136" s="12" t="n"/>
      <c r="C136" s="12" t="n"/>
      <c r="D136" s="12" t="n"/>
      <c r="E136" s="12" t="n"/>
      <c r="F136" s="6" t="n"/>
      <c r="G136" s="12" t="n"/>
      <c r="H136" s="12" t="n"/>
      <c r="I136" s="13" t="n">
        <v>1</v>
      </c>
      <c r="J136" s="12" t="n"/>
      <c r="K136" s="59">
        <f>IFERROR(MATCH(H136,$P$5:$P$23,0)-1,-1)</f>
        <v/>
      </c>
    </row>
    <row r="137">
      <c r="A137" s="58" t="n"/>
      <c r="B137" s="12" t="n"/>
      <c r="C137" s="12" t="n"/>
      <c r="D137" s="12" t="n"/>
      <c r="E137" s="12" t="n"/>
      <c r="F137" s="6" t="n"/>
      <c r="G137" s="12" t="n"/>
      <c r="H137" s="12" t="n"/>
      <c r="I137" s="13" t="n">
        <v>1</v>
      </c>
      <c r="J137" s="12" t="n"/>
      <c r="K137" s="59">
        <f>IFERROR(MATCH(H137,$P$5:$P$23,0)-1,-1)</f>
        <v/>
      </c>
    </row>
    <row r="138">
      <c r="A138" s="58" t="n"/>
      <c r="B138" s="12" t="n"/>
      <c r="C138" s="12" t="n"/>
      <c r="D138" s="12" t="n"/>
      <c r="E138" s="12" t="n"/>
      <c r="F138" s="6" t="n"/>
      <c r="G138" s="12" t="n"/>
      <c r="H138" s="12" t="n"/>
      <c r="I138" s="13" t="n">
        <v>1</v>
      </c>
      <c r="J138" s="12" t="n"/>
      <c r="K138" s="59">
        <f>IFERROR(MATCH(H138,$P$5:$P$23,0)-1,-1)</f>
        <v/>
      </c>
    </row>
    <row r="139">
      <c r="A139" s="58" t="n"/>
      <c r="B139" s="12" t="n"/>
      <c r="C139" s="12" t="n"/>
      <c r="D139" s="12" t="n"/>
      <c r="E139" s="12" t="n"/>
      <c r="F139" s="6" t="n"/>
      <c r="G139" s="12" t="n"/>
      <c r="H139" s="12" t="n"/>
      <c r="I139" s="13" t="n">
        <v>1</v>
      </c>
      <c r="J139" s="12" t="n"/>
      <c r="K139" s="59">
        <f>IFERROR(MATCH(H139,$P$5:$P$23,0)-1,-1)</f>
        <v/>
      </c>
    </row>
    <row r="140">
      <c r="A140" s="58" t="n"/>
      <c r="B140" s="12" t="n"/>
      <c r="C140" s="12" t="n"/>
      <c r="D140" s="12" t="n"/>
      <c r="E140" s="12" t="n"/>
      <c r="F140" s="6" t="n"/>
      <c r="G140" s="12" t="n"/>
      <c r="H140" s="12" t="n"/>
      <c r="I140" s="13" t="n">
        <v>1</v>
      </c>
      <c r="J140" s="12" t="n"/>
      <c r="K140" s="59">
        <f>IFERROR(MATCH(H140,$P$5:$P$23,0)-1,-1)</f>
        <v/>
      </c>
    </row>
    <row r="141">
      <c r="A141" s="58" t="n"/>
      <c r="B141" s="12" t="n"/>
      <c r="C141" s="12" t="n"/>
      <c r="D141" s="12" t="n"/>
      <c r="E141" s="12" t="n"/>
      <c r="F141" s="6" t="n"/>
      <c r="G141" s="12" t="n"/>
      <c r="H141" s="12" t="n"/>
      <c r="I141" s="13" t="n">
        <v>1</v>
      </c>
      <c r="J141" s="12" t="n"/>
      <c r="K141" s="59">
        <f>IFERROR(MATCH(H141,$P$5:$P$23,0)-1,-1)</f>
        <v/>
      </c>
    </row>
    <row r="142">
      <c r="A142" s="58" t="n"/>
      <c r="B142" s="12" t="n"/>
      <c r="C142" s="12" t="n"/>
      <c r="D142" s="12" t="n"/>
      <c r="E142" s="12" t="n"/>
      <c r="F142" s="6" t="n"/>
      <c r="G142" s="12" t="n"/>
      <c r="H142" s="12" t="n"/>
      <c r="I142" s="13" t="n">
        <v>1</v>
      </c>
      <c r="J142" s="12" t="n"/>
      <c r="K142" s="59">
        <f>IFERROR(MATCH(H142,$P$5:$P$23,0)-1,-1)</f>
        <v/>
      </c>
    </row>
    <row r="143">
      <c r="A143" s="58" t="n"/>
      <c r="B143" s="12" t="n"/>
      <c r="C143" s="12" t="n"/>
      <c r="D143" s="12" t="n"/>
      <c r="E143" s="12" t="n"/>
      <c r="F143" s="6" t="n"/>
      <c r="G143" s="12" t="n"/>
      <c r="H143" s="12" t="n"/>
      <c r="I143" s="13" t="n">
        <v>1</v>
      </c>
      <c r="J143" s="12" t="n"/>
      <c r="K143" s="59">
        <f>IFERROR(MATCH(H143,$P$5:$P$23,0)-1,-1)</f>
        <v/>
      </c>
    </row>
    <row r="144">
      <c r="A144" s="58" t="n"/>
      <c r="B144" s="12" t="n"/>
      <c r="C144" s="12" t="n"/>
      <c r="D144" s="12" t="n"/>
      <c r="E144" s="12" t="n"/>
      <c r="F144" s="6" t="n"/>
      <c r="G144" s="12" t="n"/>
      <c r="H144" s="12" t="n"/>
      <c r="I144" s="13" t="n">
        <v>1</v>
      </c>
      <c r="J144" s="12" t="n"/>
      <c r="K144" s="59">
        <f>IFERROR(MATCH(H144,$P$5:$P$23,0)-1,-1)</f>
        <v/>
      </c>
    </row>
    <row r="145">
      <c r="A145" s="58" t="n"/>
      <c r="B145" s="12" t="n"/>
      <c r="C145" s="12" t="n"/>
      <c r="D145" s="12" t="n"/>
      <c r="E145" s="12" t="n"/>
      <c r="F145" s="6" t="n"/>
      <c r="G145" s="12" t="n"/>
      <c r="H145" s="12" t="n"/>
      <c r="I145" s="13" t="n">
        <v>1</v>
      </c>
      <c r="J145" s="12" t="n"/>
      <c r="K145" s="59">
        <f>IFERROR(MATCH(H145,$P$5:$P$23,0)-1,-1)</f>
        <v/>
      </c>
    </row>
    <row r="146">
      <c r="A146" s="58" t="n"/>
      <c r="B146" s="12" t="n"/>
      <c r="C146" s="12" t="n"/>
      <c r="D146" s="12" t="n"/>
      <c r="E146" s="12" t="n"/>
      <c r="F146" s="6" t="n"/>
      <c r="G146" s="12" t="n"/>
      <c r="H146" s="12" t="n"/>
      <c r="I146" s="13" t="n">
        <v>1</v>
      </c>
      <c r="J146" s="12" t="n"/>
      <c r="K146" s="59">
        <f>IFERROR(MATCH(H146,$P$5:$P$23,0)-1,-1)</f>
        <v/>
      </c>
    </row>
    <row r="147">
      <c r="A147" s="58" t="n"/>
      <c r="B147" s="12" t="n"/>
      <c r="C147" s="12" t="n"/>
      <c r="D147" s="12" t="n"/>
      <c r="E147" s="12" t="n"/>
      <c r="F147" s="6" t="n"/>
      <c r="G147" s="12" t="n"/>
      <c r="H147" s="12" t="n"/>
      <c r="I147" s="13" t="n">
        <v>1</v>
      </c>
      <c r="J147" s="12" t="n"/>
      <c r="K147" s="59">
        <f>IFERROR(MATCH(H147,$P$5:$P$23,0)-1,-1)</f>
        <v/>
      </c>
    </row>
    <row r="148">
      <c r="A148" s="58" t="n"/>
      <c r="B148" s="12" t="n"/>
      <c r="C148" s="12" t="n"/>
      <c r="D148" s="12" t="n"/>
      <c r="E148" s="12" t="n"/>
      <c r="F148" s="6" t="n"/>
      <c r="G148" s="12" t="n"/>
      <c r="H148" s="12" t="n"/>
      <c r="I148" s="13" t="n">
        <v>1</v>
      </c>
      <c r="J148" s="12" t="n"/>
      <c r="K148" s="59">
        <f>IFERROR(MATCH(H148,$P$5:$P$23,0)-1,-1)</f>
        <v/>
      </c>
    </row>
    <row r="149">
      <c r="A149" s="58" t="n"/>
      <c r="B149" s="12" t="n"/>
      <c r="C149" s="12" t="n"/>
      <c r="D149" s="12" t="n"/>
      <c r="E149" s="12" t="n"/>
      <c r="F149" s="6" t="n"/>
      <c r="G149" s="12" t="n"/>
      <c r="H149" s="12" t="n"/>
      <c r="I149" s="13" t="n">
        <v>1</v>
      </c>
      <c r="J149" s="12" t="n"/>
      <c r="K149" s="59">
        <f>IFERROR(MATCH(H149,$P$5:$P$23,0)-1,-1)</f>
        <v/>
      </c>
    </row>
    <row r="150">
      <c r="A150" s="58" t="n"/>
      <c r="B150" s="12" t="n"/>
      <c r="C150" s="12" t="n"/>
      <c r="D150" s="12" t="n"/>
      <c r="E150" s="12" t="n"/>
      <c r="F150" s="6" t="n"/>
      <c r="G150" s="12" t="n"/>
      <c r="H150" s="12" t="n"/>
      <c r="I150" s="13" t="n">
        <v>1</v>
      </c>
      <c r="J150" s="12" t="n"/>
      <c r="K150" s="59">
        <f>IFERROR(MATCH(H150,$P$5:$P$23,0)-1,-1)</f>
        <v/>
      </c>
    </row>
    <row r="151">
      <c r="A151" s="58" t="n"/>
      <c r="B151" s="12" t="n"/>
      <c r="C151" s="12" t="n"/>
      <c r="D151" s="12" t="n"/>
      <c r="E151" s="12" t="n"/>
      <c r="F151" s="6" t="n"/>
      <c r="G151" s="12" t="n"/>
      <c r="H151" s="12" t="n"/>
      <c r="I151" s="13" t="n">
        <v>1</v>
      </c>
      <c r="J151" s="12" t="n"/>
      <c r="K151" s="59">
        <f>IFERROR(MATCH(H151,$P$5:$P$23,0)-1,-1)</f>
        <v/>
      </c>
    </row>
    <row r="152">
      <c r="A152" s="58" t="n"/>
      <c r="B152" s="12" t="n"/>
      <c r="C152" s="12" t="n"/>
      <c r="D152" s="12" t="n"/>
      <c r="E152" s="12" t="n"/>
      <c r="F152" s="6" t="n"/>
      <c r="G152" s="12" t="n"/>
      <c r="H152" s="12" t="n"/>
      <c r="I152" s="13" t="n">
        <v>1</v>
      </c>
      <c r="J152" s="12" t="n"/>
      <c r="K152" s="59">
        <f>IFERROR(MATCH(H152,$P$5:$P$23,0)-1,-1)</f>
        <v/>
      </c>
    </row>
    <row r="153">
      <c r="A153" s="58" t="n"/>
      <c r="B153" s="12" t="n"/>
      <c r="C153" s="12" t="n"/>
      <c r="D153" s="12" t="n"/>
      <c r="E153" s="12" t="n"/>
      <c r="F153" s="6" t="n"/>
      <c r="G153" s="12" t="n"/>
      <c r="H153" s="12" t="n"/>
      <c r="I153" s="13" t="n">
        <v>1</v>
      </c>
      <c r="J153" s="12" t="n"/>
      <c r="K153" s="59">
        <f>IFERROR(MATCH(H153,$P$5:$P$23,0)-1,-1)</f>
        <v/>
      </c>
    </row>
    <row r="154">
      <c r="A154" s="58" t="n"/>
      <c r="B154" s="12" t="n"/>
      <c r="C154" s="12" t="n"/>
      <c r="D154" s="12" t="n"/>
      <c r="E154" s="12" t="n"/>
      <c r="F154" s="6" t="n"/>
      <c r="G154" s="12" t="n"/>
      <c r="H154" s="12" t="n"/>
      <c r="I154" s="13" t="n">
        <v>1</v>
      </c>
      <c r="J154" s="12" t="n"/>
      <c r="K154" s="59">
        <f>IFERROR(MATCH(H154,$P$5:$P$23,0)-1,-1)</f>
        <v/>
      </c>
    </row>
    <row r="155">
      <c r="A155" s="58" t="n"/>
      <c r="B155" s="12" t="n"/>
      <c r="C155" s="12" t="n"/>
      <c r="D155" s="12" t="n"/>
      <c r="E155" s="12" t="n"/>
      <c r="F155" s="6" t="n"/>
      <c r="G155" s="12" t="n"/>
      <c r="H155" s="12" t="n"/>
      <c r="I155" s="13" t="n">
        <v>1</v>
      </c>
      <c r="J155" s="12" t="n"/>
      <c r="K155" s="59">
        <f>IFERROR(MATCH(H155,$P$5:$P$23,0)-1,-1)</f>
        <v/>
      </c>
    </row>
    <row r="156">
      <c r="A156" s="58" t="n"/>
      <c r="B156" s="12" t="n"/>
      <c r="C156" s="12" t="n"/>
      <c r="D156" s="12" t="n"/>
      <c r="E156" s="12" t="n"/>
      <c r="F156" s="6" t="n"/>
      <c r="G156" s="12" t="n"/>
      <c r="H156" s="12" t="n"/>
      <c r="I156" s="13" t="n">
        <v>1</v>
      </c>
      <c r="J156" s="12" t="n"/>
      <c r="K156" s="59">
        <f>IFERROR(MATCH(H156,$P$5:$P$23,0)-1,-1)</f>
        <v/>
      </c>
    </row>
    <row r="157">
      <c r="A157" s="58" t="n"/>
      <c r="B157" s="12" t="n"/>
      <c r="C157" s="12" t="n"/>
      <c r="D157" s="12" t="n"/>
      <c r="E157" s="12" t="n"/>
      <c r="F157" s="6" t="n"/>
      <c r="G157" s="12" t="n"/>
      <c r="H157" s="12" t="n"/>
      <c r="I157" s="13" t="n">
        <v>1</v>
      </c>
      <c r="J157" s="12" t="n"/>
      <c r="K157" s="59">
        <f>IFERROR(MATCH(H157,$P$5:$P$23,0)-1,-1)</f>
        <v/>
      </c>
    </row>
    <row r="158">
      <c r="A158" s="58" t="n"/>
      <c r="B158" s="12" t="n"/>
      <c r="C158" s="12" t="n"/>
      <c r="D158" s="12" t="n"/>
      <c r="E158" s="12" t="n"/>
      <c r="F158" s="6" t="n"/>
      <c r="G158" s="12" t="n"/>
      <c r="H158" s="12" t="n"/>
      <c r="I158" s="13" t="n">
        <v>1</v>
      </c>
      <c r="J158" s="12" t="n"/>
      <c r="K158" s="59">
        <f>IFERROR(MATCH(H158,$P$5:$P$23,0)-1,-1)</f>
        <v/>
      </c>
    </row>
    <row r="159">
      <c r="A159" s="58" t="n"/>
      <c r="B159" s="12" t="n"/>
      <c r="C159" s="12" t="n"/>
      <c r="D159" s="12" t="n"/>
      <c r="E159" s="12" t="n"/>
      <c r="F159" s="6" t="n"/>
      <c r="G159" s="12" t="n"/>
      <c r="H159" s="12" t="n"/>
      <c r="I159" s="13" t="n">
        <v>1</v>
      </c>
      <c r="J159" s="12" t="n"/>
      <c r="K159" s="59">
        <f>IFERROR(MATCH(H159,$P$5:$P$23,0)-1,-1)</f>
        <v/>
      </c>
    </row>
    <row r="160">
      <c r="A160" s="58" t="n"/>
      <c r="B160" s="12" t="n"/>
      <c r="C160" s="12" t="n"/>
      <c r="D160" s="12" t="n"/>
      <c r="E160" s="12" t="n"/>
      <c r="F160" s="6" t="n"/>
      <c r="G160" s="12" t="n"/>
      <c r="H160" s="12" t="n"/>
      <c r="I160" s="13" t="n">
        <v>1</v>
      </c>
      <c r="J160" s="12" t="n"/>
      <c r="K160" s="59">
        <f>IFERROR(MATCH(H160,$P$5:$P$23,0)-1,-1)</f>
        <v/>
      </c>
    </row>
    <row r="161">
      <c r="A161" s="58" t="n"/>
      <c r="B161" s="12" t="n"/>
      <c r="C161" s="12" t="n"/>
      <c r="D161" s="12" t="n"/>
      <c r="E161" s="12" t="n"/>
      <c r="F161" s="6" t="n"/>
      <c r="G161" s="12" t="n"/>
      <c r="H161" s="12" t="n"/>
      <c r="I161" s="13" t="n">
        <v>1</v>
      </c>
      <c r="J161" s="12" t="n"/>
      <c r="K161" s="59">
        <f>IFERROR(MATCH(H161,$P$5:$P$23,0)-1,-1)</f>
        <v/>
      </c>
    </row>
    <row r="162">
      <c r="A162" s="58" t="n"/>
      <c r="B162" s="12" t="n"/>
      <c r="C162" s="12" t="n"/>
      <c r="D162" s="12" t="n"/>
      <c r="E162" s="12" t="n"/>
      <c r="F162" s="6" t="n"/>
      <c r="G162" s="12" t="n"/>
      <c r="H162" s="12" t="n"/>
      <c r="I162" s="13" t="n">
        <v>1</v>
      </c>
      <c r="J162" s="12" t="n"/>
      <c r="K162" s="59">
        <f>IFERROR(MATCH(H162,$P$5:$P$23,0)-1,-1)</f>
        <v/>
      </c>
    </row>
    <row r="163">
      <c r="A163" s="58" t="n"/>
      <c r="B163" s="12" t="n"/>
      <c r="C163" s="12" t="n"/>
      <c r="D163" s="12" t="n"/>
      <c r="E163" s="12" t="n"/>
      <c r="F163" s="6" t="n"/>
      <c r="G163" s="12" t="n"/>
      <c r="H163" s="12" t="n"/>
      <c r="I163" s="13" t="n">
        <v>1</v>
      </c>
      <c r="J163" s="12" t="n"/>
      <c r="K163" s="59">
        <f>IFERROR(MATCH(H163,$P$5:$P$23,0)-1,-1)</f>
        <v/>
      </c>
    </row>
    <row r="164">
      <c r="A164" s="58" t="n"/>
      <c r="B164" s="12" t="n"/>
      <c r="C164" s="12" t="n"/>
      <c r="D164" s="12" t="n"/>
      <c r="E164" s="12" t="n"/>
      <c r="F164" s="6" t="n"/>
      <c r="G164" s="12" t="n"/>
      <c r="H164" s="12" t="n"/>
      <c r="I164" s="13" t="n">
        <v>1</v>
      </c>
      <c r="J164" s="12" t="n"/>
      <c r="K164" s="59">
        <f>IFERROR(MATCH(H164,$P$5:$P$23,0)-1,-1)</f>
        <v/>
      </c>
    </row>
    <row r="165">
      <c r="A165" s="58" t="n"/>
      <c r="B165" s="12" t="n"/>
      <c r="C165" s="12" t="n"/>
      <c r="D165" s="12" t="n"/>
      <c r="E165" s="12" t="n"/>
      <c r="F165" s="6" t="n"/>
      <c r="G165" s="12" t="n"/>
      <c r="H165" s="12" t="n"/>
      <c r="I165" s="13" t="n">
        <v>1</v>
      </c>
      <c r="J165" s="12" t="n"/>
      <c r="K165" s="59">
        <f>IFERROR(MATCH(H165,$P$5:$P$23,0)-1,-1)</f>
        <v/>
      </c>
    </row>
    <row r="166">
      <c r="A166" s="58" t="n"/>
      <c r="B166" s="12" t="n"/>
      <c r="C166" s="12" t="n"/>
      <c r="D166" s="12" t="n"/>
      <c r="E166" s="12" t="n"/>
      <c r="F166" s="6" t="n"/>
      <c r="G166" s="12" t="n"/>
      <c r="H166" s="12" t="n"/>
      <c r="I166" s="13" t="n">
        <v>1</v>
      </c>
      <c r="J166" s="12" t="n"/>
      <c r="K166" s="59">
        <f>IFERROR(MATCH(H166,$P$5:$P$23,0)-1,-1)</f>
        <v/>
      </c>
    </row>
    <row r="167">
      <c r="A167" s="58" t="n"/>
      <c r="B167" s="12" t="n"/>
      <c r="C167" s="12" t="n"/>
      <c r="D167" s="12" t="n"/>
      <c r="E167" s="12" t="n"/>
      <c r="F167" s="6" t="n"/>
      <c r="G167" s="12" t="n"/>
      <c r="H167" s="12" t="n"/>
      <c r="I167" s="13" t="n">
        <v>1</v>
      </c>
      <c r="J167" s="12" t="n"/>
      <c r="K167" s="59">
        <f>IFERROR(MATCH(H167,$P$5:$P$23,0)-1,-1)</f>
        <v/>
      </c>
    </row>
    <row r="168">
      <c r="A168" s="58" t="n"/>
      <c r="B168" s="12" t="n"/>
      <c r="C168" s="12" t="n"/>
      <c r="D168" s="12" t="n"/>
      <c r="E168" s="12" t="n"/>
      <c r="F168" s="6" t="n"/>
      <c r="G168" s="12" t="n"/>
      <c r="H168" s="12" t="n"/>
      <c r="I168" s="13" t="n">
        <v>1</v>
      </c>
      <c r="J168" s="12" t="n"/>
      <c r="K168" s="59">
        <f>IFERROR(MATCH(H168,$P$5:$P$23,0)-1,-1)</f>
        <v/>
      </c>
    </row>
    <row r="169">
      <c r="A169" s="58" t="n"/>
      <c r="B169" s="12" t="n"/>
      <c r="C169" s="12" t="n"/>
      <c r="D169" s="12" t="n"/>
      <c r="E169" s="12" t="n"/>
      <c r="F169" s="6" t="n"/>
      <c r="G169" s="12" t="n"/>
      <c r="H169" s="12" t="n"/>
      <c r="I169" s="13" t="n">
        <v>1</v>
      </c>
      <c r="J169" s="12" t="n"/>
      <c r="K169" s="59">
        <f>IFERROR(MATCH(H169,$P$5:$P$23,0)-1,-1)</f>
        <v/>
      </c>
    </row>
    <row r="170">
      <c r="A170" s="58" t="n"/>
      <c r="B170" s="12" t="n"/>
      <c r="C170" s="12" t="n"/>
      <c r="D170" s="12" t="n"/>
      <c r="E170" s="12" t="n"/>
      <c r="F170" s="6" t="n"/>
      <c r="G170" s="12" t="n"/>
      <c r="H170" s="12" t="n"/>
      <c r="I170" s="13" t="n">
        <v>1</v>
      </c>
      <c r="J170" s="12" t="n"/>
      <c r="K170" s="59">
        <f>IFERROR(MATCH(H170,$P$5:$P$23,0)-1,-1)</f>
        <v/>
      </c>
    </row>
    <row r="171">
      <c r="A171" s="58" t="n"/>
      <c r="B171" s="12" t="n"/>
      <c r="C171" s="12" t="n"/>
      <c r="D171" s="12" t="n"/>
      <c r="E171" s="12" t="n"/>
      <c r="F171" s="6" t="n"/>
      <c r="G171" s="12" t="n"/>
      <c r="H171" s="12" t="n"/>
      <c r="I171" s="13" t="n">
        <v>1</v>
      </c>
      <c r="J171" s="12" t="n"/>
      <c r="K171" s="59">
        <f>IFERROR(MATCH(H171,$P$5:$P$23,0)-1,-1)</f>
        <v/>
      </c>
    </row>
    <row r="172">
      <c r="A172" s="58" t="n"/>
      <c r="B172" s="12" t="n"/>
      <c r="C172" s="12" t="n"/>
      <c r="D172" s="12" t="n"/>
      <c r="E172" s="12" t="n"/>
      <c r="F172" s="6" t="n"/>
      <c r="G172" s="12" t="n"/>
      <c r="H172" s="12" t="n"/>
      <c r="I172" s="13" t="n">
        <v>1</v>
      </c>
      <c r="J172" s="12" t="n"/>
      <c r="K172" s="59">
        <f>IFERROR(MATCH(H172,$P$5:$P$23,0)-1,-1)</f>
        <v/>
      </c>
    </row>
    <row r="173">
      <c r="A173" s="58" t="n"/>
      <c r="B173" s="12" t="n"/>
      <c r="C173" s="12" t="n"/>
      <c r="D173" s="12" t="n"/>
      <c r="E173" s="12" t="n"/>
      <c r="F173" s="6" t="n"/>
      <c r="G173" s="12" t="n"/>
      <c r="H173" s="12" t="n"/>
      <c r="I173" s="13" t="n">
        <v>1</v>
      </c>
      <c r="J173" s="12" t="n"/>
      <c r="K173" s="59">
        <f>IFERROR(MATCH(H173,$P$5:$P$23,0)-1,-1)</f>
        <v/>
      </c>
    </row>
    <row r="174">
      <c r="A174" s="58" t="n"/>
      <c r="B174" s="12" t="n"/>
      <c r="C174" s="12" t="n"/>
      <c r="D174" s="12" t="n"/>
      <c r="E174" s="12" t="n"/>
      <c r="F174" s="6" t="n"/>
      <c r="G174" s="12" t="n"/>
      <c r="H174" s="12" t="n"/>
      <c r="I174" s="13" t="n">
        <v>1</v>
      </c>
      <c r="J174" s="12" t="n"/>
      <c r="K174" s="59">
        <f>IFERROR(MATCH(H174,$P$5:$P$23,0)-1,-1)</f>
        <v/>
      </c>
    </row>
    <row r="175">
      <c r="A175" s="58" t="n"/>
      <c r="B175" s="12" t="n"/>
      <c r="C175" s="12" t="n"/>
      <c r="D175" s="12" t="n"/>
      <c r="E175" s="12" t="n"/>
      <c r="F175" s="6" t="n"/>
      <c r="G175" s="12" t="n"/>
      <c r="H175" s="12" t="n"/>
      <c r="I175" s="13" t="n">
        <v>1</v>
      </c>
      <c r="J175" s="12" t="n"/>
      <c r="K175" s="59">
        <f>IFERROR(MATCH(H175,$P$5:$P$23,0)-1,-1)</f>
        <v/>
      </c>
    </row>
    <row r="176">
      <c r="A176" s="58" t="n"/>
      <c r="B176" s="12" t="n"/>
      <c r="C176" s="12" t="n"/>
      <c r="D176" s="12" t="n"/>
      <c r="E176" s="12" t="n"/>
      <c r="F176" s="6" t="n"/>
      <c r="G176" s="12" t="n"/>
      <c r="H176" s="12" t="n"/>
      <c r="I176" s="13" t="n">
        <v>1</v>
      </c>
      <c r="J176" s="12" t="n"/>
      <c r="K176" s="59">
        <f>IFERROR(MATCH(H176,$P$5:$P$23,0)-1,-1)</f>
        <v/>
      </c>
    </row>
    <row r="177">
      <c r="A177" s="58" t="n"/>
      <c r="B177" s="12" t="n"/>
      <c r="C177" s="12" t="n"/>
      <c r="D177" s="12" t="n"/>
      <c r="E177" s="12" t="n"/>
      <c r="F177" s="6" t="n"/>
      <c r="G177" s="12" t="n"/>
      <c r="H177" s="12" t="n"/>
      <c r="I177" s="13" t="n">
        <v>1</v>
      </c>
      <c r="J177" s="12" t="n"/>
      <c r="K177" s="59">
        <f>IFERROR(MATCH(H177,$P$5:$P$23,0)-1,-1)</f>
        <v/>
      </c>
    </row>
    <row r="178">
      <c r="A178" s="58" t="n"/>
      <c r="B178" s="12" t="n"/>
      <c r="C178" s="12" t="n"/>
      <c r="D178" s="12" t="n"/>
      <c r="E178" s="12" t="n"/>
      <c r="F178" s="6" t="n"/>
      <c r="G178" s="12" t="n"/>
      <c r="H178" s="12" t="n"/>
      <c r="I178" s="13" t="n">
        <v>1</v>
      </c>
      <c r="J178" s="12" t="n"/>
      <c r="K178" s="59">
        <f>IFERROR(MATCH(H178,$P$5:$P$23,0)-1,-1)</f>
        <v/>
      </c>
    </row>
    <row r="179">
      <c r="A179" s="58" t="n"/>
      <c r="B179" s="12" t="n"/>
      <c r="C179" s="12" t="n"/>
      <c r="D179" s="12" t="n"/>
      <c r="E179" s="12" t="n"/>
      <c r="F179" s="6" t="n"/>
      <c r="G179" s="12" t="n"/>
      <c r="H179" s="12" t="n"/>
      <c r="I179" s="13" t="n">
        <v>1</v>
      </c>
      <c r="J179" s="12" t="n"/>
      <c r="K179" s="59">
        <f>IFERROR(MATCH(H179,$P$5:$P$23,0)-1,-1)</f>
        <v/>
      </c>
    </row>
    <row r="180">
      <c r="A180" s="58" t="n"/>
      <c r="B180" s="12" t="n"/>
      <c r="C180" s="12" t="n"/>
      <c r="D180" s="12" t="n"/>
      <c r="E180" s="12" t="n"/>
      <c r="F180" s="6" t="n"/>
      <c r="G180" s="12" t="n"/>
      <c r="H180" s="12" t="n"/>
      <c r="I180" s="13" t="n">
        <v>1</v>
      </c>
      <c r="J180" s="12" t="n"/>
      <c r="K180" s="59">
        <f>IFERROR(MATCH(H180,$P$5:$P$23,0)-1,-1)</f>
        <v/>
      </c>
    </row>
    <row r="181">
      <c r="A181" s="58" t="n"/>
      <c r="B181" s="12" t="n"/>
      <c r="C181" s="12" t="n"/>
      <c r="D181" s="12" t="n"/>
      <c r="E181" s="12" t="n"/>
      <c r="F181" s="6" t="n"/>
      <c r="G181" s="12" t="n"/>
      <c r="H181" s="12" t="n"/>
      <c r="I181" s="13" t="n">
        <v>1</v>
      </c>
      <c r="J181" s="12" t="n"/>
      <c r="K181" s="59">
        <f>IFERROR(MATCH(H181,$P$5:$P$23,0)-1,-1)</f>
        <v/>
      </c>
    </row>
    <row r="182">
      <c r="A182" s="58" t="n"/>
      <c r="B182" s="12" t="n"/>
      <c r="C182" s="12" t="n"/>
      <c r="D182" s="12" t="n"/>
      <c r="E182" s="12" t="n"/>
      <c r="F182" s="6" t="n"/>
      <c r="G182" s="12" t="n"/>
      <c r="H182" s="12" t="n"/>
      <c r="I182" s="13" t="n">
        <v>1</v>
      </c>
      <c r="J182" s="12" t="n"/>
      <c r="K182" s="59">
        <f>IFERROR(MATCH(H182,$P$5:$P$23,0)-1,-1)</f>
        <v/>
      </c>
    </row>
    <row r="183">
      <c r="A183" s="58" t="n"/>
      <c r="B183" s="12" t="n"/>
      <c r="C183" s="12" t="n"/>
      <c r="D183" s="12" t="n"/>
      <c r="E183" s="12" t="n"/>
      <c r="F183" s="6" t="n"/>
      <c r="G183" s="12" t="n"/>
      <c r="H183" s="12" t="n"/>
      <c r="I183" s="13" t="n">
        <v>1</v>
      </c>
      <c r="J183" s="12" t="n"/>
      <c r="K183" s="59">
        <f>IFERROR(MATCH(H183,$P$5:$P$23,0)-1,-1)</f>
        <v/>
      </c>
    </row>
    <row r="184">
      <c r="A184" s="58" t="n"/>
      <c r="B184" s="12" t="n"/>
      <c r="C184" s="12" t="n"/>
      <c r="D184" s="12" t="n"/>
      <c r="E184" s="12" t="n"/>
      <c r="F184" s="6" t="n"/>
      <c r="G184" s="12" t="n"/>
      <c r="H184" s="12" t="n"/>
      <c r="I184" s="13" t="n">
        <v>1</v>
      </c>
      <c r="J184" s="12" t="n"/>
      <c r="K184" s="59">
        <f>IFERROR(MATCH(H184,$P$5:$P$23,0)-1,-1)</f>
        <v/>
      </c>
    </row>
    <row r="185">
      <c r="A185" s="58" t="n"/>
      <c r="B185" s="12" t="n"/>
      <c r="C185" s="12" t="n"/>
      <c r="D185" s="12" t="n"/>
      <c r="E185" s="12" t="n"/>
      <c r="F185" s="6" t="n"/>
      <c r="G185" s="12" t="n"/>
      <c r="H185" s="12" t="n"/>
      <c r="I185" s="13" t="n">
        <v>1</v>
      </c>
      <c r="J185" s="12" t="n"/>
      <c r="K185" s="59">
        <f>IFERROR(MATCH(H185,$P$5:$P$23,0)-1,-1)</f>
        <v/>
      </c>
    </row>
    <row r="186">
      <c r="A186" s="58" t="n"/>
      <c r="B186" s="12" t="n"/>
      <c r="C186" s="12" t="n"/>
      <c r="D186" s="12" t="n"/>
      <c r="E186" s="12" t="n"/>
      <c r="F186" s="6" t="n"/>
      <c r="G186" s="12" t="n"/>
      <c r="H186" s="12" t="n"/>
      <c r="I186" s="13" t="n">
        <v>1</v>
      </c>
      <c r="J186" s="12" t="n"/>
      <c r="K186" s="59">
        <f>IFERROR(MATCH(H186,$P$5:$P$23,0)-1,-1)</f>
        <v/>
      </c>
    </row>
    <row r="187">
      <c r="A187" s="58" t="n"/>
      <c r="B187" s="12" t="n"/>
      <c r="C187" s="12" t="n"/>
      <c r="D187" s="12" t="n"/>
      <c r="E187" s="12" t="n"/>
      <c r="F187" s="6" t="n"/>
      <c r="G187" s="12" t="n"/>
      <c r="H187" s="12" t="n"/>
      <c r="I187" s="13" t="n">
        <v>1</v>
      </c>
      <c r="J187" s="12" t="n"/>
      <c r="K187" s="59">
        <f>IFERROR(MATCH(H187,$P$5:$P$23,0)-1,-1)</f>
        <v/>
      </c>
    </row>
    <row r="188">
      <c r="A188" s="58" t="n"/>
      <c r="B188" s="12" t="n"/>
      <c r="C188" s="12" t="n"/>
      <c r="D188" s="12" t="n"/>
      <c r="E188" s="12" t="n"/>
      <c r="F188" s="6" t="n"/>
      <c r="G188" s="12" t="n"/>
      <c r="H188" s="12" t="n"/>
      <c r="I188" s="13" t="n">
        <v>1</v>
      </c>
      <c r="J188" s="12" t="n"/>
      <c r="K188" s="59">
        <f>IFERROR(MATCH(H188,$P$5:$P$23,0)-1,-1)</f>
        <v/>
      </c>
    </row>
    <row r="189">
      <c r="A189" s="58" t="n"/>
      <c r="B189" s="12" t="n"/>
      <c r="C189" s="12" t="n"/>
      <c r="D189" s="12" t="n"/>
      <c r="E189" s="12" t="n"/>
      <c r="F189" s="6" t="n"/>
      <c r="G189" s="12" t="n"/>
      <c r="H189" s="12" t="n"/>
      <c r="I189" s="13" t="n">
        <v>1</v>
      </c>
      <c r="J189" s="12" t="n"/>
      <c r="K189" s="59">
        <f>IFERROR(MATCH(H189,$P$5:$P$23,0)-1,-1)</f>
        <v/>
      </c>
    </row>
    <row r="190">
      <c r="A190" s="58" t="n"/>
      <c r="B190" s="12" t="n"/>
      <c r="C190" s="12" t="n"/>
      <c r="D190" s="12" t="n"/>
      <c r="E190" s="12" t="n"/>
      <c r="F190" s="6" t="n"/>
      <c r="G190" s="12" t="n"/>
      <c r="H190" s="12" t="n"/>
      <c r="I190" s="13" t="n">
        <v>1</v>
      </c>
      <c r="J190" s="12" t="n"/>
      <c r="K190" s="59">
        <f>IFERROR(MATCH(H190,$P$5:$P$23,0)-1,-1)</f>
        <v/>
      </c>
    </row>
    <row r="191">
      <c r="A191" s="58" t="n"/>
      <c r="B191" s="12" t="n"/>
      <c r="C191" s="12" t="n"/>
      <c r="D191" s="12" t="n"/>
      <c r="E191" s="12" t="n"/>
      <c r="F191" s="6" t="n"/>
      <c r="G191" s="12" t="n"/>
      <c r="H191" s="12" t="n"/>
      <c r="I191" s="13" t="n">
        <v>1</v>
      </c>
      <c r="J191" s="12" t="n"/>
      <c r="K191" s="59">
        <f>IFERROR(MATCH(H191,$P$5:$P$23,0)-1,-1)</f>
        <v/>
      </c>
    </row>
    <row r="192">
      <c r="A192" s="58" t="n"/>
      <c r="B192" s="12" t="n"/>
      <c r="C192" s="12" t="n"/>
      <c r="D192" s="12" t="n"/>
      <c r="E192" s="12" t="n"/>
      <c r="F192" s="6" t="n"/>
      <c r="G192" s="12" t="n"/>
      <c r="H192" s="12" t="n"/>
      <c r="I192" s="13" t="n">
        <v>1</v>
      </c>
      <c r="J192" s="12" t="n"/>
      <c r="K192" s="59">
        <f>IFERROR(MATCH(H192,$P$5:$P$23,0)-1,-1)</f>
        <v/>
      </c>
    </row>
    <row r="193">
      <c r="A193" s="58" t="n"/>
      <c r="B193" s="12" t="n"/>
      <c r="C193" s="12" t="n"/>
      <c r="D193" s="12" t="n"/>
      <c r="E193" s="12" t="n"/>
      <c r="F193" s="6" t="n"/>
      <c r="G193" s="12" t="n"/>
      <c r="H193" s="12" t="n"/>
      <c r="I193" s="13" t="n">
        <v>1</v>
      </c>
      <c r="J193" s="12" t="n"/>
      <c r="K193" s="59">
        <f>IFERROR(MATCH(H193,$P$5:$P$23,0)-1,-1)</f>
        <v/>
      </c>
    </row>
    <row r="194">
      <c r="A194" s="58" t="n"/>
      <c r="B194" s="12" t="n"/>
      <c r="C194" s="12" t="n"/>
      <c r="D194" s="12" t="n"/>
      <c r="E194" s="12" t="n"/>
      <c r="F194" s="6" t="n"/>
      <c r="G194" s="12" t="n"/>
      <c r="H194" s="12" t="n"/>
      <c r="I194" s="13" t="n">
        <v>1</v>
      </c>
      <c r="J194" s="12" t="n"/>
      <c r="K194" s="59">
        <f>IFERROR(MATCH(H194,$P$5:$P$23,0)-1,-1)</f>
        <v/>
      </c>
    </row>
    <row r="195">
      <c r="A195" s="58" t="n"/>
      <c r="B195" s="12" t="n"/>
      <c r="C195" s="12" t="n"/>
      <c r="D195" s="12" t="n"/>
      <c r="E195" s="12" t="n"/>
      <c r="F195" s="6" t="n"/>
      <c r="G195" s="12" t="n"/>
      <c r="H195" s="12" t="n"/>
      <c r="I195" s="13" t="n">
        <v>1</v>
      </c>
      <c r="J195" s="12" t="n"/>
      <c r="K195" s="59">
        <f>IFERROR(MATCH(H195,$P$5:$P$23,0)-1,-1)</f>
        <v/>
      </c>
    </row>
    <row r="196">
      <c r="A196" s="58" t="n"/>
      <c r="B196" s="12" t="n"/>
      <c r="C196" s="12" t="n"/>
      <c r="D196" s="12" t="n"/>
      <c r="E196" s="12" t="n"/>
      <c r="F196" s="6" t="n"/>
      <c r="G196" s="12" t="n"/>
      <c r="H196" s="12" t="n"/>
      <c r="I196" s="13" t="n">
        <v>1</v>
      </c>
      <c r="J196" s="12" t="n"/>
      <c r="K196" s="59">
        <f>IFERROR(MATCH(H196,$P$5:$P$23,0)-1,-1)</f>
        <v/>
      </c>
    </row>
    <row r="197">
      <c r="A197" s="58" t="n"/>
      <c r="B197" s="12" t="n"/>
      <c r="C197" s="12" t="n"/>
      <c r="D197" s="12" t="n"/>
      <c r="E197" s="12" t="n"/>
      <c r="F197" s="6" t="n"/>
      <c r="G197" s="12" t="n"/>
      <c r="H197" s="12" t="n"/>
      <c r="I197" s="13" t="n">
        <v>1</v>
      </c>
      <c r="J197" s="12" t="n"/>
      <c r="K197" s="59">
        <f>IFERROR(MATCH(H197,$P$5:$P$23,0)-1,-1)</f>
        <v/>
      </c>
    </row>
    <row r="198">
      <c r="A198" s="58" t="n"/>
      <c r="B198" s="12" t="n"/>
      <c r="C198" s="12" t="n"/>
      <c r="D198" s="12" t="n"/>
      <c r="E198" s="12" t="n"/>
      <c r="F198" s="6" t="n"/>
      <c r="G198" s="12" t="n"/>
      <c r="H198" s="12" t="n"/>
      <c r="I198" s="13" t="n">
        <v>1</v>
      </c>
      <c r="J198" s="12" t="n"/>
      <c r="K198" s="59">
        <f>IFERROR(MATCH(H198,$P$5:$P$23,0)-1,-1)</f>
        <v/>
      </c>
    </row>
    <row r="199">
      <c r="A199" s="58" t="n"/>
      <c r="B199" s="12" t="n"/>
      <c r="C199" s="12" t="n"/>
      <c r="D199" s="12" t="n"/>
      <c r="E199" s="12" t="n"/>
      <c r="F199" s="6" t="n"/>
      <c r="G199" s="12" t="n"/>
      <c r="H199" s="12" t="n"/>
      <c r="I199" s="13" t="n">
        <v>1</v>
      </c>
      <c r="J199" s="12" t="n"/>
      <c r="K199" s="59">
        <f>IFERROR(MATCH(H199,$P$5:$P$23,0)-1,-1)</f>
        <v/>
      </c>
    </row>
    <row r="200">
      <c r="A200" s="58" t="n"/>
      <c r="B200" s="12" t="n"/>
      <c r="C200" s="12" t="n"/>
      <c r="D200" s="12" t="n"/>
      <c r="E200" s="12" t="n"/>
      <c r="F200" s="6" t="n"/>
      <c r="G200" s="12" t="n"/>
      <c r="H200" s="12" t="n"/>
      <c r="I200" s="13" t="n">
        <v>1</v>
      </c>
      <c r="J200" s="12" t="n"/>
      <c r="K200" s="59">
        <f>IFERROR(MATCH(H200,$P$5:$P$23,0)-1,-1)</f>
        <v/>
      </c>
    </row>
    <row r="201">
      <c r="A201" s="58" t="n"/>
      <c r="B201" s="12" t="n"/>
      <c r="C201" s="12" t="n"/>
      <c r="D201" s="12" t="n"/>
      <c r="E201" s="12" t="n"/>
      <c r="F201" s="6" t="n"/>
      <c r="G201" s="12" t="n"/>
      <c r="H201" s="12" t="n"/>
      <c r="I201" s="13" t="n">
        <v>1</v>
      </c>
      <c r="J201" s="12" t="n"/>
      <c r="K201" s="59">
        <f>IFERROR(MATCH(H201,$P$5:$P$23,0)-1,-1)</f>
        <v/>
      </c>
    </row>
    <row r="202">
      <c r="A202" s="58" t="n"/>
      <c r="B202" s="12" t="n"/>
      <c r="C202" s="12" t="n"/>
      <c r="D202" s="12" t="n"/>
      <c r="E202" s="12" t="n"/>
      <c r="F202" s="6" t="n"/>
      <c r="G202" s="12" t="n"/>
      <c r="H202" s="12" t="n"/>
      <c r="I202" s="13" t="n">
        <v>1</v>
      </c>
      <c r="J202" s="12" t="n"/>
      <c r="K202" s="59">
        <f>IFERROR(MATCH(H202,$P$5:$P$23,0)-1,-1)</f>
        <v/>
      </c>
    </row>
    <row r="203">
      <c r="A203" s="58" t="n"/>
      <c r="B203" s="12" t="n"/>
      <c r="C203" s="12" t="n"/>
      <c r="D203" s="12" t="n"/>
      <c r="E203" s="12" t="n"/>
      <c r="F203" s="6" t="n"/>
      <c r="G203" s="12" t="n"/>
      <c r="H203" s="12" t="n"/>
      <c r="I203" s="13" t="n">
        <v>1</v>
      </c>
      <c r="J203" s="12" t="n"/>
      <c r="K203" s="59">
        <f>IFERROR(MATCH(H203,$P$5:$P$23,0)-1,-1)</f>
        <v/>
      </c>
    </row>
    <row r="204">
      <c r="A204" s="58" t="n"/>
      <c r="B204" s="12" t="n"/>
      <c r="C204" s="12" t="n"/>
      <c r="D204" s="12" t="n"/>
      <c r="E204" s="12" t="n"/>
      <c r="F204" s="6" t="n"/>
      <c r="G204" s="12" t="n"/>
      <c r="H204" s="12" t="n"/>
      <c r="I204" s="13" t="n">
        <v>1</v>
      </c>
      <c r="J204" s="12" t="n"/>
      <c r="K204" s="59">
        <f>IFERROR(MATCH(H204,$P$5:$P$23,0)-1,-1)</f>
        <v/>
      </c>
    </row>
    <row r="206">
      <c r="A206" s="7" t="inlineStr">
        <is>
          <t>As colunas M, N, O e P guardam as listas dos menus — acrescente uma tag ali e ela aparece no dropdown e na análise.</t>
        </is>
      </c>
    </row>
    <row r="207">
      <c r="A207" s="7" t="inlineStr">
        <is>
          <t>Valor TOTAL + mês de início + parcelas: o gasto é distribuído no fluxo mensal (ex.: projeto arquitetônico R$ 8.000 em 4x a partir de Set/26 = R$ 2.000/mês de set a dez).</t>
        </is>
      </c>
    </row>
    <row r="208">
      <c r="A208" s="7" t="inlineStr">
        <is>
          <t>As primeiras linhas são exemplos: apague e comece a lançar os seus.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conditionalFormatting sqref="G5:G204">
    <cfRule type="cellIs" priority="1" operator="equal" dxfId="2">
      <formula>"Pago"</formula>
    </cfRule>
    <cfRule type="cellIs" priority="2" operator="equal" dxfId="4">
      <formula>"Previsto"</formula>
    </cfRule>
  </conditionalFormatting>
  <dataValidations count="4">
    <dataValidation sqref="C5:C204" showDropDown="0" showInputMessage="0" showErrorMessage="0" allowBlank="1" type="list">
      <formula1>='Custos de implantação'!$M$5:$M$14</formula1>
    </dataValidation>
    <dataValidation sqref="D5:D204" showDropDown="0" showInputMessage="0" showErrorMessage="0" allowBlank="1" type="list">
      <formula1>='Custos de implantação'!$N$5:$N$12</formula1>
    </dataValidation>
    <dataValidation sqref="G5:G204" showDropDown="0" showInputMessage="0" showErrorMessage="0" allowBlank="1" type="list">
      <formula1>='Custos de implantação'!$O$5:$O$7</formula1>
    </dataValidation>
    <dataValidation sqref="H5:H204" showDropDown="0" showInputMessage="0" showErrorMessage="0" allowBlank="1" type="list">
      <formula1>='Custos de implantação'!$P$5:$P$23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4" t="inlineStr">
        <is>
          <t>ANÁLISE — para onde o dinheiro foi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53" t="inlineStr">
        <is>
          <t>Total lançado</t>
        </is>
      </c>
      <c r="B2" s="53" t="inlineStr">
        <is>
          <t>Orçado no CAPEX</t>
        </is>
      </c>
      <c r="C2" s="53" t="inlineStr">
        <is>
          <t>Desvio</t>
        </is>
      </c>
    </row>
    <row r="3">
      <c r="A3" s="54">
        <f>SUMIFS('Custos de implantação'!$F$5:$F$204,'Custos de implantação'!$G$5:$G$204,"&lt;&gt;Cancelado")</f>
        <v/>
      </c>
      <c r="B3" s="54">
        <f>INVEST_TOTAL</f>
        <v/>
      </c>
      <c r="C3" s="61">
        <f>A3-B3</f>
        <v/>
      </c>
    </row>
    <row r="5">
      <c r="A5" s="8" t="inlineStr">
        <is>
          <t>POR CATEGORIA</t>
        </is>
      </c>
    </row>
    <row r="6">
      <c r="A6" s="26" t="inlineStr">
        <is>
          <t>Categoria</t>
        </is>
      </c>
      <c r="B6" s="26" t="inlineStr">
        <is>
          <t>Total</t>
        </is>
      </c>
      <c r="C6" s="26" t="inlineStr">
        <is>
          <t>% do total</t>
        </is>
      </c>
      <c r="D6" s="26" t="inlineStr">
        <is>
          <t>Nº</t>
        </is>
      </c>
    </row>
    <row r="7">
      <c r="A7">
        <f>'Custos de implantação'!$J$5</f>
        <v/>
      </c>
      <c r="B7" s="29">
        <f>SUMIFS('Custos de implantação'!$F$5:$F$204,'Custos de implantação'!$C$5:$C$204,$A7,'Custos de implantação'!$G$5:$G$204,"&lt;&gt;Cancelado")</f>
        <v/>
      </c>
      <c r="C7" s="28">
        <f>IF($A$3=0,0,B7/$A$3)</f>
        <v/>
      </c>
      <c r="D7" s="27">
        <f>COUNTIFS('Custos de implantação'!$C$5:$C$204,$A7)</f>
        <v/>
      </c>
    </row>
    <row r="8">
      <c r="A8">
        <f>'Custos de implantação'!$J$6</f>
        <v/>
      </c>
      <c r="B8" s="29">
        <f>SUMIFS('Custos de implantação'!$F$5:$F$204,'Custos de implantação'!$C$5:$C$204,$A8,'Custos de implantação'!$G$5:$G$204,"&lt;&gt;Cancelado")</f>
        <v/>
      </c>
      <c r="C8" s="28">
        <f>IF($A$3=0,0,B8/$A$3)</f>
        <v/>
      </c>
      <c r="D8" s="27">
        <f>COUNTIFS('Custos de implantação'!$C$5:$C$204,$A8)</f>
        <v/>
      </c>
    </row>
    <row r="9">
      <c r="A9">
        <f>'Custos de implantação'!$J$7</f>
        <v/>
      </c>
      <c r="B9" s="29">
        <f>SUMIFS('Custos de implantação'!$F$5:$F$204,'Custos de implantação'!$C$5:$C$204,$A9,'Custos de implantação'!$G$5:$G$204,"&lt;&gt;Cancelado")</f>
        <v/>
      </c>
      <c r="C9" s="28">
        <f>IF($A$3=0,0,B9/$A$3)</f>
        <v/>
      </c>
      <c r="D9" s="27">
        <f>COUNTIFS('Custos de implantação'!$C$5:$C$204,$A9)</f>
        <v/>
      </c>
    </row>
    <row r="10">
      <c r="A10">
        <f>'Custos de implantação'!$J$8</f>
        <v/>
      </c>
      <c r="B10" s="29">
        <f>SUMIFS('Custos de implantação'!$F$5:$F$204,'Custos de implantação'!$C$5:$C$204,$A10,'Custos de implantação'!$G$5:$G$204,"&lt;&gt;Cancelado")</f>
        <v/>
      </c>
      <c r="C10" s="28">
        <f>IF($A$3=0,0,B10/$A$3)</f>
        <v/>
      </c>
      <c r="D10" s="27">
        <f>COUNTIFS('Custos de implantação'!$C$5:$C$204,$A10)</f>
        <v/>
      </c>
    </row>
    <row r="11">
      <c r="A11">
        <f>'Custos de implantação'!$J$9</f>
        <v/>
      </c>
      <c r="B11" s="29">
        <f>SUMIFS('Custos de implantação'!$F$5:$F$204,'Custos de implantação'!$C$5:$C$204,$A11,'Custos de implantação'!$G$5:$G$204,"&lt;&gt;Cancelado")</f>
        <v/>
      </c>
      <c r="C11" s="28">
        <f>IF($A$3=0,0,B11/$A$3)</f>
        <v/>
      </c>
      <c r="D11" s="27">
        <f>COUNTIFS('Custos de implantação'!$C$5:$C$204,$A11)</f>
        <v/>
      </c>
    </row>
    <row r="12">
      <c r="A12">
        <f>'Custos de implantação'!$J$10</f>
        <v/>
      </c>
      <c r="B12" s="29">
        <f>SUMIFS('Custos de implantação'!$F$5:$F$204,'Custos de implantação'!$C$5:$C$204,$A12,'Custos de implantação'!$G$5:$G$204,"&lt;&gt;Cancelado")</f>
        <v/>
      </c>
      <c r="C12" s="28">
        <f>IF($A$3=0,0,B12/$A$3)</f>
        <v/>
      </c>
      <c r="D12" s="27">
        <f>COUNTIFS('Custos de implantação'!$C$5:$C$204,$A12)</f>
        <v/>
      </c>
    </row>
    <row r="13">
      <c r="A13">
        <f>'Custos de implantação'!$J$11</f>
        <v/>
      </c>
      <c r="B13" s="29">
        <f>SUMIFS('Custos de implantação'!$F$5:$F$204,'Custos de implantação'!$C$5:$C$204,$A13,'Custos de implantação'!$G$5:$G$204,"&lt;&gt;Cancelado")</f>
        <v/>
      </c>
      <c r="C13" s="28">
        <f>IF($A$3=0,0,B13/$A$3)</f>
        <v/>
      </c>
      <c r="D13" s="27">
        <f>COUNTIFS('Custos de implantação'!$C$5:$C$204,$A13)</f>
        <v/>
      </c>
    </row>
    <row r="14">
      <c r="A14">
        <f>'Custos de implantação'!$J$12</f>
        <v/>
      </c>
      <c r="B14" s="29">
        <f>SUMIFS('Custos de implantação'!$F$5:$F$204,'Custos de implantação'!$C$5:$C$204,$A14,'Custos de implantação'!$G$5:$G$204,"&lt;&gt;Cancelado")</f>
        <v/>
      </c>
      <c r="C14" s="28">
        <f>IF($A$3=0,0,B14/$A$3)</f>
        <v/>
      </c>
      <c r="D14" s="27">
        <f>COUNTIFS('Custos de implantação'!$C$5:$C$204,$A14)</f>
        <v/>
      </c>
    </row>
    <row r="15">
      <c r="A15">
        <f>'Custos de implantação'!$J$13</f>
        <v/>
      </c>
      <c r="B15" s="29">
        <f>SUMIFS('Custos de implantação'!$F$5:$F$204,'Custos de implantação'!$C$5:$C$204,$A15,'Custos de implantação'!$G$5:$G$204,"&lt;&gt;Cancelado")</f>
        <v/>
      </c>
      <c r="C15" s="28">
        <f>IF($A$3=0,0,B15/$A$3)</f>
        <v/>
      </c>
      <c r="D15" s="27">
        <f>COUNTIFS('Custos de implantação'!$C$5:$C$204,$A15)</f>
        <v/>
      </c>
    </row>
    <row r="16">
      <c r="A16">
        <f>'Custos de implantação'!$J$14</f>
        <v/>
      </c>
      <c r="B16" s="29">
        <f>SUMIFS('Custos de implantação'!$F$5:$F$204,'Custos de implantação'!$C$5:$C$204,$A16,'Custos de implantação'!$G$5:$G$204,"&lt;&gt;Cancelado")</f>
        <v/>
      </c>
      <c r="C16" s="28">
        <f>IF($A$3=0,0,B16/$A$3)</f>
        <v/>
      </c>
      <c r="D16" s="27">
        <f>COUNTIFS('Custos de implantação'!$C$5:$C$204,$A16)</f>
        <v/>
      </c>
    </row>
    <row r="17">
      <c r="A17" s="14" t="inlineStr">
        <is>
          <t>Total</t>
        </is>
      </c>
      <c r="B17" s="32">
        <f>SUM(B7:B16)</f>
        <v/>
      </c>
    </row>
    <row r="18">
      <c r="A18" s="8" t="inlineStr">
        <is>
          <t>POR TIPO DE GASTO</t>
        </is>
      </c>
    </row>
    <row r="19">
      <c r="A19" s="26" t="inlineStr">
        <is>
          <t>Tipo</t>
        </is>
      </c>
      <c r="B19" s="26" t="inlineStr">
        <is>
          <t>Total</t>
        </is>
      </c>
      <c r="C19" s="26" t="inlineStr">
        <is>
          <t>% do total</t>
        </is>
      </c>
      <c r="D19" s="26" t="inlineStr">
        <is>
          <t>Nº</t>
        </is>
      </c>
    </row>
    <row r="20">
      <c r="A20">
        <f>'Custos de implantação'!$K$5</f>
        <v/>
      </c>
      <c r="B20" s="29">
        <f>SUMIFS('Custos de implantação'!$F$5:$F$204,'Custos de implantação'!$D$5:$D$204,$A20,'Custos de implantação'!$G$5:$G$204,"&lt;&gt;Cancelado")</f>
        <v/>
      </c>
      <c r="C20" s="28">
        <f>IF($A$3=0,0,B20/$A$3)</f>
        <v/>
      </c>
      <c r="D20" s="27">
        <f>COUNTIFS('Custos de implantação'!$D$5:$D$204,$A20)</f>
        <v/>
      </c>
    </row>
    <row r="21">
      <c r="A21">
        <f>'Custos de implantação'!$K$6</f>
        <v/>
      </c>
      <c r="B21" s="29">
        <f>SUMIFS('Custos de implantação'!$F$5:$F$204,'Custos de implantação'!$D$5:$D$204,$A21,'Custos de implantação'!$G$5:$G$204,"&lt;&gt;Cancelado")</f>
        <v/>
      </c>
      <c r="C21" s="28">
        <f>IF($A$3=0,0,B21/$A$3)</f>
        <v/>
      </c>
      <c r="D21" s="27">
        <f>COUNTIFS('Custos de implantação'!$D$5:$D$204,$A21)</f>
        <v/>
      </c>
    </row>
    <row r="22">
      <c r="A22">
        <f>'Custos de implantação'!$K$7</f>
        <v/>
      </c>
      <c r="B22" s="29">
        <f>SUMIFS('Custos de implantação'!$F$5:$F$204,'Custos de implantação'!$D$5:$D$204,$A22,'Custos de implantação'!$G$5:$G$204,"&lt;&gt;Cancelado")</f>
        <v/>
      </c>
      <c r="C22" s="28">
        <f>IF($A$3=0,0,B22/$A$3)</f>
        <v/>
      </c>
      <c r="D22" s="27">
        <f>COUNTIFS('Custos de implantação'!$D$5:$D$204,$A22)</f>
        <v/>
      </c>
    </row>
    <row r="23">
      <c r="A23">
        <f>'Custos de implantação'!$K$8</f>
        <v/>
      </c>
      <c r="B23" s="29">
        <f>SUMIFS('Custos de implantação'!$F$5:$F$204,'Custos de implantação'!$D$5:$D$204,$A23,'Custos de implantação'!$G$5:$G$204,"&lt;&gt;Cancelado")</f>
        <v/>
      </c>
      <c r="C23" s="28">
        <f>IF($A$3=0,0,B23/$A$3)</f>
        <v/>
      </c>
      <c r="D23" s="27">
        <f>COUNTIFS('Custos de implantação'!$D$5:$D$204,$A23)</f>
        <v/>
      </c>
    </row>
    <row r="24">
      <c r="A24">
        <f>'Custos de implantação'!$K$9</f>
        <v/>
      </c>
      <c r="B24" s="29">
        <f>SUMIFS('Custos de implantação'!$F$5:$F$204,'Custos de implantação'!$D$5:$D$204,$A24,'Custos de implantação'!$G$5:$G$204,"&lt;&gt;Cancelado")</f>
        <v/>
      </c>
      <c r="C24" s="28">
        <f>IF($A$3=0,0,B24/$A$3)</f>
        <v/>
      </c>
      <c r="D24" s="27">
        <f>COUNTIFS('Custos de implantação'!$D$5:$D$204,$A24)</f>
        <v/>
      </c>
    </row>
    <row r="25">
      <c r="A25">
        <f>'Custos de implantação'!$K$10</f>
        <v/>
      </c>
      <c r="B25" s="29">
        <f>SUMIFS('Custos de implantação'!$F$5:$F$204,'Custos de implantação'!$D$5:$D$204,$A25,'Custos de implantação'!$G$5:$G$204,"&lt;&gt;Cancelado")</f>
        <v/>
      </c>
      <c r="C25" s="28">
        <f>IF($A$3=0,0,B25/$A$3)</f>
        <v/>
      </c>
      <c r="D25" s="27">
        <f>COUNTIFS('Custos de implantação'!$D$5:$D$204,$A25)</f>
        <v/>
      </c>
    </row>
    <row r="26">
      <c r="A26">
        <f>'Custos de implantação'!$K$11</f>
        <v/>
      </c>
      <c r="B26" s="29">
        <f>SUMIFS('Custos de implantação'!$F$5:$F$204,'Custos de implantação'!$D$5:$D$204,$A26,'Custos de implantação'!$G$5:$G$204,"&lt;&gt;Cancelado")</f>
        <v/>
      </c>
      <c r="C26" s="28">
        <f>IF($A$3=0,0,B26/$A$3)</f>
        <v/>
      </c>
      <c r="D26" s="27">
        <f>COUNTIFS('Custos de implantação'!$D$5:$D$204,$A26)</f>
        <v/>
      </c>
    </row>
    <row r="27">
      <c r="A27">
        <f>'Custos de implantação'!$K$12</f>
        <v/>
      </c>
      <c r="B27" s="29">
        <f>SUMIFS('Custos de implantação'!$F$5:$F$204,'Custos de implantação'!$D$5:$D$204,$A27,'Custos de implantação'!$G$5:$G$204,"&lt;&gt;Cancelado")</f>
        <v/>
      </c>
      <c r="C27" s="28">
        <f>IF($A$3=0,0,B27/$A$3)</f>
        <v/>
      </c>
      <c r="D27" s="27">
        <f>COUNTIFS('Custos de implantação'!$D$5:$D$204,$A27)</f>
        <v/>
      </c>
    </row>
    <row r="29">
      <c r="A29" s="8" t="inlineStr">
        <is>
          <t>CATEGORIA × TIPO</t>
        </is>
      </c>
    </row>
    <row r="30">
      <c r="A30" s="21" t="inlineStr">
        <is>
          <t>Categoria \ Tipo</t>
        </is>
      </c>
      <c r="B30" s="62" t="inlineStr">
        <is>
          <t>Material</t>
        </is>
      </c>
      <c r="C30" s="62" t="inlineStr">
        <is>
          <t>Mão de obra</t>
        </is>
      </c>
      <c r="D30" s="62" t="inlineStr">
        <is>
          <t>Serviço</t>
        </is>
      </c>
      <c r="E30" s="62" t="inlineStr">
        <is>
          <t>Compra</t>
        </is>
      </c>
      <c r="F30" s="62" t="inlineStr">
        <is>
          <t>Licença/Taxa</t>
        </is>
      </c>
      <c r="G30" s="62" t="inlineStr">
        <is>
          <t>Consultoria</t>
        </is>
      </c>
      <c r="H30" s="62" t="inlineStr">
        <is>
          <t>Software</t>
        </is>
      </c>
      <c r="I30" s="62" t="inlineStr">
        <is>
          <t>Outros</t>
        </is>
      </c>
    </row>
    <row r="31">
      <c r="A31">
        <f>'Custos de implantação'!$J$5</f>
        <v/>
      </c>
      <c r="B31" s="29">
        <f>SUMIFS('Custos de implantação'!$F$5:$F$204,'Custos de implantação'!$C$5:$C$204,$A31,'Custos de implantação'!$D$5:$D$204,B$30,'Custos de implantação'!$G$5:$G$204,"&lt;&gt;Cancelado")</f>
        <v/>
      </c>
      <c r="C31" s="29">
        <f>SUMIFS('Custos de implantação'!$F$5:$F$204,'Custos de implantação'!$C$5:$C$204,$A31,'Custos de implantação'!$D$5:$D$204,C$30,'Custos de implantação'!$G$5:$G$204,"&lt;&gt;Cancelado")</f>
        <v/>
      </c>
      <c r="D31" s="29">
        <f>SUMIFS('Custos de implantação'!$F$5:$F$204,'Custos de implantação'!$C$5:$C$204,$A31,'Custos de implantação'!$D$5:$D$204,D$30,'Custos de implantação'!$G$5:$G$204,"&lt;&gt;Cancelado")</f>
        <v/>
      </c>
      <c r="E31" s="29">
        <f>SUMIFS('Custos de implantação'!$F$5:$F$204,'Custos de implantação'!$C$5:$C$204,$A31,'Custos de implantação'!$D$5:$D$204,E$30,'Custos de implantação'!$G$5:$G$204,"&lt;&gt;Cancelado")</f>
        <v/>
      </c>
      <c r="F31" s="29">
        <f>SUMIFS('Custos de implantação'!$F$5:$F$204,'Custos de implantação'!$C$5:$C$204,$A31,'Custos de implantação'!$D$5:$D$204,F$30,'Custos de implantação'!$G$5:$G$204,"&lt;&gt;Cancelado")</f>
        <v/>
      </c>
      <c r="G31" s="29">
        <f>SUMIFS('Custos de implantação'!$F$5:$F$204,'Custos de implantação'!$C$5:$C$204,$A31,'Custos de implantação'!$D$5:$D$204,G$30,'Custos de implantação'!$G$5:$G$204,"&lt;&gt;Cancelado")</f>
        <v/>
      </c>
      <c r="H31" s="29">
        <f>SUMIFS('Custos de implantação'!$F$5:$F$204,'Custos de implantação'!$C$5:$C$204,$A31,'Custos de implantação'!$D$5:$D$204,H$30,'Custos de implantação'!$G$5:$G$204,"&lt;&gt;Cancelado")</f>
        <v/>
      </c>
      <c r="I31" s="29">
        <f>SUMIFS('Custos de implantação'!$F$5:$F$204,'Custos de implantação'!$C$5:$C$204,$A31,'Custos de implantação'!$D$5:$D$204,I$30,'Custos de implantação'!$G$5:$G$204,"&lt;&gt;Cancelado")</f>
        <v/>
      </c>
    </row>
    <row r="32">
      <c r="A32">
        <f>'Custos de implantação'!$J$6</f>
        <v/>
      </c>
      <c r="B32" s="29">
        <f>SUMIFS('Custos de implantação'!$F$5:$F$204,'Custos de implantação'!$C$5:$C$204,$A32,'Custos de implantação'!$D$5:$D$204,B$30,'Custos de implantação'!$G$5:$G$204,"&lt;&gt;Cancelado")</f>
        <v/>
      </c>
      <c r="C32" s="29">
        <f>SUMIFS('Custos de implantação'!$F$5:$F$204,'Custos de implantação'!$C$5:$C$204,$A32,'Custos de implantação'!$D$5:$D$204,C$30,'Custos de implantação'!$G$5:$G$204,"&lt;&gt;Cancelado")</f>
        <v/>
      </c>
      <c r="D32" s="29">
        <f>SUMIFS('Custos de implantação'!$F$5:$F$204,'Custos de implantação'!$C$5:$C$204,$A32,'Custos de implantação'!$D$5:$D$204,D$30,'Custos de implantação'!$G$5:$G$204,"&lt;&gt;Cancelado")</f>
        <v/>
      </c>
      <c r="E32" s="29">
        <f>SUMIFS('Custos de implantação'!$F$5:$F$204,'Custos de implantação'!$C$5:$C$204,$A32,'Custos de implantação'!$D$5:$D$204,E$30,'Custos de implantação'!$G$5:$G$204,"&lt;&gt;Cancelado")</f>
        <v/>
      </c>
      <c r="F32" s="29">
        <f>SUMIFS('Custos de implantação'!$F$5:$F$204,'Custos de implantação'!$C$5:$C$204,$A32,'Custos de implantação'!$D$5:$D$204,F$30,'Custos de implantação'!$G$5:$G$204,"&lt;&gt;Cancelado")</f>
        <v/>
      </c>
      <c r="G32" s="29">
        <f>SUMIFS('Custos de implantação'!$F$5:$F$204,'Custos de implantação'!$C$5:$C$204,$A32,'Custos de implantação'!$D$5:$D$204,G$30,'Custos de implantação'!$G$5:$G$204,"&lt;&gt;Cancelado")</f>
        <v/>
      </c>
      <c r="H32" s="29">
        <f>SUMIFS('Custos de implantação'!$F$5:$F$204,'Custos de implantação'!$C$5:$C$204,$A32,'Custos de implantação'!$D$5:$D$204,H$30,'Custos de implantação'!$G$5:$G$204,"&lt;&gt;Cancelado")</f>
        <v/>
      </c>
      <c r="I32" s="29">
        <f>SUMIFS('Custos de implantação'!$F$5:$F$204,'Custos de implantação'!$C$5:$C$204,$A32,'Custos de implantação'!$D$5:$D$204,I$30,'Custos de implantação'!$G$5:$G$204,"&lt;&gt;Cancelado")</f>
        <v/>
      </c>
    </row>
    <row r="33">
      <c r="A33">
        <f>'Custos de implantação'!$J$7</f>
        <v/>
      </c>
      <c r="B33" s="29">
        <f>SUMIFS('Custos de implantação'!$F$5:$F$204,'Custos de implantação'!$C$5:$C$204,$A33,'Custos de implantação'!$D$5:$D$204,B$30,'Custos de implantação'!$G$5:$G$204,"&lt;&gt;Cancelado")</f>
        <v/>
      </c>
      <c r="C33" s="29">
        <f>SUMIFS('Custos de implantação'!$F$5:$F$204,'Custos de implantação'!$C$5:$C$204,$A33,'Custos de implantação'!$D$5:$D$204,C$30,'Custos de implantação'!$G$5:$G$204,"&lt;&gt;Cancelado")</f>
        <v/>
      </c>
      <c r="D33" s="29">
        <f>SUMIFS('Custos de implantação'!$F$5:$F$204,'Custos de implantação'!$C$5:$C$204,$A33,'Custos de implantação'!$D$5:$D$204,D$30,'Custos de implantação'!$G$5:$G$204,"&lt;&gt;Cancelado")</f>
        <v/>
      </c>
      <c r="E33" s="29">
        <f>SUMIFS('Custos de implantação'!$F$5:$F$204,'Custos de implantação'!$C$5:$C$204,$A33,'Custos de implantação'!$D$5:$D$204,E$30,'Custos de implantação'!$G$5:$G$204,"&lt;&gt;Cancelado")</f>
        <v/>
      </c>
      <c r="F33" s="29">
        <f>SUMIFS('Custos de implantação'!$F$5:$F$204,'Custos de implantação'!$C$5:$C$204,$A33,'Custos de implantação'!$D$5:$D$204,F$30,'Custos de implantação'!$G$5:$G$204,"&lt;&gt;Cancelado")</f>
        <v/>
      </c>
      <c r="G33" s="29">
        <f>SUMIFS('Custos de implantação'!$F$5:$F$204,'Custos de implantação'!$C$5:$C$204,$A33,'Custos de implantação'!$D$5:$D$204,G$30,'Custos de implantação'!$G$5:$G$204,"&lt;&gt;Cancelado")</f>
        <v/>
      </c>
      <c r="H33" s="29">
        <f>SUMIFS('Custos de implantação'!$F$5:$F$204,'Custos de implantação'!$C$5:$C$204,$A33,'Custos de implantação'!$D$5:$D$204,H$30,'Custos de implantação'!$G$5:$G$204,"&lt;&gt;Cancelado")</f>
        <v/>
      </c>
      <c r="I33" s="29">
        <f>SUMIFS('Custos de implantação'!$F$5:$F$204,'Custos de implantação'!$C$5:$C$204,$A33,'Custos de implantação'!$D$5:$D$204,I$30,'Custos de implantação'!$G$5:$G$204,"&lt;&gt;Cancelado")</f>
        <v/>
      </c>
    </row>
    <row r="34">
      <c r="A34">
        <f>'Custos de implantação'!$J$8</f>
        <v/>
      </c>
      <c r="B34" s="29">
        <f>SUMIFS('Custos de implantação'!$F$5:$F$204,'Custos de implantação'!$C$5:$C$204,$A34,'Custos de implantação'!$D$5:$D$204,B$30,'Custos de implantação'!$G$5:$G$204,"&lt;&gt;Cancelado")</f>
        <v/>
      </c>
      <c r="C34" s="29">
        <f>SUMIFS('Custos de implantação'!$F$5:$F$204,'Custos de implantação'!$C$5:$C$204,$A34,'Custos de implantação'!$D$5:$D$204,C$30,'Custos de implantação'!$G$5:$G$204,"&lt;&gt;Cancelado")</f>
        <v/>
      </c>
      <c r="D34" s="29">
        <f>SUMIFS('Custos de implantação'!$F$5:$F$204,'Custos de implantação'!$C$5:$C$204,$A34,'Custos de implantação'!$D$5:$D$204,D$30,'Custos de implantação'!$G$5:$G$204,"&lt;&gt;Cancelado")</f>
        <v/>
      </c>
      <c r="E34" s="29">
        <f>SUMIFS('Custos de implantação'!$F$5:$F$204,'Custos de implantação'!$C$5:$C$204,$A34,'Custos de implantação'!$D$5:$D$204,E$30,'Custos de implantação'!$G$5:$G$204,"&lt;&gt;Cancelado")</f>
        <v/>
      </c>
      <c r="F34" s="29">
        <f>SUMIFS('Custos de implantação'!$F$5:$F$204,'Custos de implantação'!$C$5:$C$204,$A34,'Custos de implantação'!$D$5:$D$204,F$30,'Custos de implantação'!$G$5:$G$204,"&lt;&gt;Cancelado")</f>
        <v/>
      </c>
      <c r="G34" s="29">
        <f>SUMIFS('Custos de implantação'!$F$5:$F$204,'Custos de implantação'!$C$5:$C$204,$A34,'Custos de implantação'!$D$5:$D$204,G$30,'Custos de implantação'!$G$5:$G$204,"&lt;&gt;Cancelado")</f>
        <v/>
      </c>
      <c r="H34" s="29">
        <f>SUMIFS('Custos de implantação'!$F$5:$F$204,'Custos de implantação'!$C$5:$C$204,$A34,'Custos de implantação'!$D$5:$D$204,H$30,'Custos de implantação'!$G$5:$G$204,"&lt;&gt;Cancelado")</f>
        <v/>
      </c>
      <c r="I34" s="29">
        <f>SUMIFS('Custos de implantação'!$F$5:$F$204,'Custos de implantação'!$C$5:$C$204,$A34,'Custos de implantação'!$D$5:$D$204,I$30,'Custos de implantação'!$G$5:$G$204,"&lt;&gt;Cancelado")</f>
        <v/>
      </c>
    </row>
    <row r="35">
      <c r="A35">
        <f>'Custos de implantação'!$J$9</f>
        <v/>
      </c>
      <c r="B35" s="29">
        <f>SUMIFS('Custos de implantação'!$F$5:$F$204,'Custos de implantação'!$C$5:$C$204,$A35,'Custos de implantação'!$D$5:$D$204,B$30,'Custos de implantação'!$G$5:$G$204,"&lt;&gt;Cancelado")</f>
        <v/>
      </c>
      <c r="C35" s="29">
        <f>SUMIFS('Custos de implantação'!$F$5:$F$204,'Custos de implantação'!$C$5:$C$204,$A35,'Custos de implantação'!$D$5:$D$204,C$30,'Custos de implantação'!$G$5:$G$204,"&lt;&gt;Cancelado")</f>
        <v/>
      </c>
      <c r="D35" s="29">
        <f>SUMIFS('Custos de implantação'!$F$5:$F$204,'Custos de implantação'!$C$5:$C$204,$A35,'Custos de implantação'!$D$5:$D$204,D$30,'Custos de implantação'!$G$5:$G$204,"&lt;&gt;Cancelado")</f>
        <v/>
      </c>
      <c r="E35" s="29">
        <f>SUMIFS('Custos de implantação'!$F$5:$F$204,'Custos de implantação'!$C$5:$C$204,$A35,'Custos de implantação'!$D$5:$D$204,E$30,'Custos de implantação'!$G$5:$G$204,"&lt;&gt;Cancelado")</f>
        <v/>
      </c>
      <c r="F35" s="29">
        <f>SUMIFS('Custos de implantação'!$F$5:$F$204,'Custos de implantação'!$C$5:$C$204,$A35,'Custos de implantação'!$D$5:$D$204,F$30,'Custos de implantação'!$G$5:$G$204,"&lt;&gt;Cancelado")</f>
        <v/>
      </c>
      <c r="G35" s="29">
        <f>SUMIFS('Custos de implantação'!$F$5:$F$204,'Custos de implantação'!$C$5:$C$204,$A35,'Custos de implantação'!$D$5:$D$204,G$30,'Custos de implantação'!$G$5:$G$204,"&lt;&gt;Cancelado")</f>
        <v/>
      </c>
      <c r="H35" s="29">
        <f>SUMIFS('Custos de implantação'!$F$5:$F$204,'Custos de implantação'!$C$5:$C$204,$A35,'Custos de implantação'!$D$5:$D$204,H$30,'Custos de implantação'!$G$5:$G$204,"&lt;&gt;Cancelado")</f>
        <v/>
      </c>
      <c r="I35" s="29">
        <f>SUMIFS('Custos de implantação'!$F$5:$F$204,'Custos de implantação'!$C$5:$C$204,$A35,'Custos de implantação'!$D$5:$D$204,I$30,'Custos de implantação'!$G$5:$G$204,"&lt;&gt;Cancelado")</f>
        <v/>
      </c>
    </row>
    <row r="36">
      <c r="A36">
        <f>'Custos de implantação'!$J$10</f>
        <v/>
      </c>
      <c r="B36" s="29">
        <f>SUMIFS('Custos de implantação'!$F$5:$F$204,'Custos de implantação'!$C$5:$C$204,$A36,'Custos de implantação'!$D$5:$D$204,B$30,'Custos de implantação'!$G$5:$G$204,"&lt;&gt;Cancelado")</f>
        <v/>
      </c>
      <c r="C36" s="29">
        <f>SUMIFS('Custos de implantação'!$F$5:$F$204,'Custos de implantação'!$C$5:$C$204,$A36,'Custos de implantação'!$D$5:$D$204,C$30,'Custos de implantação'!$G$5:$G$204,"&lt;&gt;Cancelado")</f>
        <v/>
      </c>
      <c r="D36" s="29">
        <f>SUMIFS('Custos de implantação'!$F$5:$F$204,'Custos de implantação'!$C$5:$C$204,$A36,'Custos de implantação'!$D$5:$D$204,D$30,'Custos de implantação'!$G$5:$G$204,"&lt;&gt;Cancelado")</f>
        <v/>
      </c>
      <c r="E36" s="29">
        <f>SUMIFS('Custos de implantação'!$F$5:$F$204,'Custos de implantação'!$C$5:$C$204,$A36,'Custos de implantação'!$D$5:$D$204,E$30,'Custos de implantação'!$G$5:$G$204,"&lt;&gt;Cancelado")</f>
        <v/>
      </c>
      <c r="F36" s="29">
        <f>SUMIFS('Custos de implantação'!$F$5:$F$204,'Custos de implantação'!$C$5:$C$204,$A36,'Custos de implantação'!$D$5:$D$204,F$30,'Custos de implantação'!$G$5:$G$204,"&lt;&gt;Cancelado")</f>
        <v/>
      </c>
      <c r="G36" s="29">
        <f>SUMIFS('Custos de implantação'!$F$5:$F$204,'Custos de implantação'!$C$5:$C$204,$A36,'Custos de implantação'!$D$5:$D$204,G$30,'Custos de implantação'!$G$5:$G$204,"&lt;&gt;Cancelado")</f>
        <v/>
      </c>
      <c r="H36" s="29">
        <f>SUMIFS('Custos de implantação'!$F$5:$F$204,'Custos de implantação'!$C$5:$C$204,$A36,'Custos de implantação'!$D$5:$D$204,H$30,'Custos de implantação'!$G$5:$G$204,"&lt;&gt;Cancelado")</f>
        <v/>
      </c>
      <c r="I36" s="29">
        <f>SUMIFS('Custos de implantação'!$F$5:$F$204,'Custos de implantação'!$C$5:$C$204,$A36,'Custos de implantação'!$D$5:$D$204,I$30,'Custos de implantação'!$G$5:$G$204,"&lt;&gt;Cancelado")</f>
        <v/>
      </c>
    </row>
    <row r="37">
      <c r="A37">
        <f>'Custos de implantação'!$J$11</f>
        <v/>
      </c>
      <c r="B37" s="29">
        <f>SUMIFS('Custos de implantação'!$F$5:$F$204,'Custos de implantação'!$C$5:$C$204,$A37,'Custos de implantação'!$D$5:$D$204,B$30,'Custos de implantação'!$G$5:$G$204,"&lt;&gt;Cancelado")</f>
        <v/>
      </c>
      <c r="C37" s="29">
        <f>SUMIFS('Custos de implantação'!$F$5:$F$204,'Custos de implantação'!$C$5:$C$204,$A37,'Custos de implantação'!$D$5:$D$204,C$30,'Custos de implantação'!$G$5:$G$204,"&lt;&gt;Cancelado")</f>
        <v/>
      </c>
      <c r="D37" s="29">
        <f>SUMIFS('Custos de implantação'!$F$5:$F$204,'Custos de implantação'!$C$5:$C$204,$A37,'Custos de implantação'!$D$5:$D$204,D$30,'Custos de implantação'!$G$5:$G$204,"&lt;&gt;Cancelado")</f>
        <v/>
      </c>
      <c r="E37" s="29">
        <f>SUMIFS('Custos de implantação'!$F$5:$F$204,'Custos de implantação'!$C$5:$C$204,$A37,'Custos de implantação'!$D$5:$D$204,E$30,'Custos de implantação'!$G$5:$G$204,"&lt;&gt;Cancelado")</f>
        <v/>
      </c>
      <c r="F37" s="29">
        <f>SUMIFS('Custos de implantação'!$F$5:$F$204,'Custos de implantação'!$C$5:$C$204,$A37,'Custos de implantação'!$D$5:$D$204,F$30,'Custos de implantação'!$G$5:$G$204,"&lt;&gt;Cancelado")</f>
        <v/>
      </c>
      <c r="G37" s="29">
        <f>SUMIFS('Custos de implantação'!$F$5:$F$204,'Custos de implantação'!$C$5:$C$204,$A37,'Custos de implantação'!$D$5:$D$204,G$30,'Custos de implantação'!$G$5:$G$204,"&lt;&gt;Cancelado")</f>
        <v/>
      </c>
      <c r="H37" s="29">
        <f>SUMIFS('Custos de implantação'!$F$5:$F$204,'Custos de implantação'!$C$5:$C$204,$A37,'Custos de implantação'!$D$5:$D$204,H$30,'Custos de implantação'!$G$5:$G$204,"&lt;&gt;Cancelado")</f>
        <v/>
      </c>
      <c r="I37" s="29">
        <f>SUMIFS('Custos de implantação'!$F$5:$F$204,'Custos de implantação'!$C$5:$C$204,$A37,'Custos de implantação'!$D$5:$D$204,I$30,'Custos de implantação'!$G$5:$G$204,"&lt;&gt;Cancelado")</f>
        <v/>
      </c>
    </row>
    <row r="38">
      <c r="A38">
        <f>'Custos de implantação'!$J$12</f>
        <v/>
      </c>
      <c r="B38" s="29">
        <f>SUMIFS('Custos de implantação'!$F$5:$F$204,'Custos de implantação'!$C$5:$C$204,$A38,'Custos de implantação'!$D$5:$D$204,B$30,'Custos de implantação'!$G$5:$G$204,"&lt;&gt;Cancelado")</f>
        <v/>
      </c>
      <c r="C38" s="29">
        <f>SUMIFS('Custos de implantação'!$F$5:$F$204,'Custos de implantação'!$C$5:$C$204,$A38,'Custos de implantação'!$D$5:$D$204,C$30,'Custos de implantação'!$G$5:$G$204,"&lt;&gt;Cancelado")</f>
        <v/>
      </c>
      <c r="D38" s="29">
        <f>SUMIFS('Custos de implantação'!$F$5:$F$204,'Custos de implantação'!$C$5:$C$204,$A38,'Custos de implantação'!$D$5:$D$204,D$30,'Custos de implantação'!$G$5:$G$204,"&lt;&gt;Cancelado")</f>
        <v/>
      </c>
      <c r="E38" s="29">
        <f>SUMIFS('Custos de implantação'!$F$5:$F$204,'Custos de implantação'!$C$5:$C$204,$A38,'Custos de implantação'!$D$5:$D$204,E$30,'Custos de implantação'!$G$5:$G$204,"&lt;&gt;Cancelado")</f>
        <v/>
      </c>
      <c r="F38" s="29">
        <f>SUMIFS('Custos de implantação'!$F$5:$F$204,'Custos de implantação'!$C$5:$C$204,$A38,'Custos de implantação'!$D$5:$D$204,F$30,'Custos de implantação'!$G$5:$G$204,"&lt;&gt;Cancelado")</f>
        <v/>
      </c>
      <c r="G38" s="29">
        <f>SUMIFS('Custos de implantação'!$F$5:$F$204,'Custos de implantação'!$C$5:$C$204,$A38,'Custos de implantação'!$D$5:$D$204,G$30,'Custos de implantação'!$G$5:$G$204,"&lt;&gt;Cancelado")</f>
        <v/>
      </c>
      <c r="H38" s="29">
        <f>SUMIFS('Custos de implantação'!$F$5:$F$204,'Custos de implantação'!$C$5:$C$204,$A38,'Custos de implantação'!$D$5:$D$204,H$30,'Custos de implantação'!$G$5:$G$204,"&lt;&gt;Cancelado")</f>
        <v/>
      </c>
      <c r="I38" s="29">
        <f>SUMIFS('Custos de implantação'!$F$5:$F$204,'Custos de implantação'!$C$5:$C$204,$A38,'Custos de implantação'!$D$5:$D$204,I$30,'Custos de implantação'!$G$5:$G$204,"&lt;&gt;Cancelado")</f>
        <v/>
      </c>
    </row>
    <row r="39">
      <c r="A39">
        <f>'Custos de implantação'!$J$13</f>
        <v/>
      </c>
      <c r="B39" s="29">
        <f>SUMIFS('Custos de implantação'!$F$5:$F$204,'Custos de implantação'!$C$5:$C$204,$A39,'Custos de implantação'!$D$5:$D$204,B$30,'Custos de implantação'!$G$5:$G$204,"&lt;&gt;Cancelado")</f>
        <v/>
      </c>
      <c r="C39" s="29">
        <f>SUMIFS('Custos de implantação'!$F$5:$F$204,'Custos de implantação'!$C$5:$C$204,$A39,'Custos de implantação'!$D$5:$D$204,C$30,'Custos de implantação'!$G$5:$G$204,"&lt;&gt;Cancelado")</f>
        <v/>
      </c>
      <c r="D39" s="29">
        <f>SUMIFS('Custos de implantação'!$F$5:$F$204,'Custos de implantação'!$C$5:$C$204,$A39,'Custos de implantação'!$D$5:$D$204,D$30,'Custos de implantação'!$G$5:$G$204,"&lt;&gt;Cancelado")</f>
        <v/>
      </c>
      <c r="E39" s="29">
        <f>SUMIFS('Custos de implantação'!$F$5:$F$204,'Custos de implantação'!$C$5:$C$204,$A39,'Custos de implantação'!$D$5:$D$204,E$30,'Custos de implantação'!$G$5:$G$204,"&lt;&gt;Cancelado")</f>
        <v/>
      </c>
      <c r="F39" s="29">
        <f>SUMIFS('Custos de implantação'!$F$5:$F$204,'Custos de implantação'!$C$5:$C$204,$A39,'Custos de implantação'!$D$5:$D$204,F$30,'Custos de implantação'!$G$5:$G$204,"&lt;&gt;Cancelado")</f>
        <v/>
      </c>
      <c r="G39" s="29">
        <f>SUMIFS('Custos de implantação'!$F$5:$F$204,'Custos de implantação'!$C$5:$C$204,$A39,'Custos de implantação'!$D$5:$D$204,G$30,'Custos de implantação'!$G$5:$G$204,"&lt;&gt;Cancelado")</f>
        <v/>
      </c>
      <c r="H39" s="29">
        <f>SUMIFS('Custos de implantação'!$F$5:$F$204,'Custos de implantação'!$C$5:$C$204,$A39,'Custos de implantação'!$D$5:$D$204,H$30,'Custos de implantação'!$G$5:$G$204,"&lt;&gt;Cancelado")</f>
        <v/>
      </c>
      <c r="I39" s="29">
        <f>SUMIFS('Custos de implantação'!$F$5:$F$204,'Custos de implantação'!$C$5:$C$204,$A39,'Custos de implantação'!$D$5:$D$204,I$30,'Custos de implantação'!$G$5:$G$204,"&lt;&gt;Cancelado")</f>
        <v/>
      </c>
    </row>
    <row r="40">
      <c r="A40">
        <f>'Custos de implantação'!$J$14</f>
        <v/>
      </c>
      <c r="B40" s="29">
        <f>SUMIFS('Custos de implantação'!$F$5:$F$204,'Custos de implantação'!$C$5:$C$204,$A40,'Custos de implantação'!$D$5:$D$204,B$30,'Custos de implantação'!$G$5:$G$204,"&lt;&gt;Cancelado")</f>
        <v/>
      </c>
      <c r="C40" s="29">
        <f>SUMIFS('Custos de implantação'!$F$5:$F$204,'Custos de implantação'!$C$5:$C$204,$A40,'Custos de implantação'!$D$5:$D$204,C$30,'Custos de implantação'!$G$5:$G$204,"&lt;&gt;Cancelado")</f>
        <v/>
      </c>
      <c r="D40" s="29">
        <f>SUMIFS('Custos de implantação'!$F$5:$F$204,'Custos de implantação'!$C$5:$C$204,$A40,'Custos de implantação'!$D$5:$D$204,D$30,'Custos de implantação'!$G$5:$G$204,"&lt;&gt;Cancelado")</f>
        <v/>
      </c>
      <c r="E40" s="29">
        <f>SUMIFS('Custos de implantação'!$F$5:$F$204,'Custos de implantação'!$C$5:$C$204,$A40,'Custos de implantação'!$D$5:$D$204,E$30,'Custos de implantação'!$G$5:$G$204,"&lt;&gt;Cancelado")</f>
        <v/>
      </c>
      <c r="F40" s="29">
        <f>SUMIFS('Custos de implantação'!$F$5:$F$204,'Custos de implantação'!$C$5:$C$204,$A40,'Custos de implantação'!$D$5:$D$204,F$30,'Custos de implantação'!$G$5:$G$204,"&lt;&gt;Cancelado")</f>
        <v/>
      </c>
      <c r="G40" s="29">
        <f>SUMIFS('Custos de implantação'!$F$5:$F$204,'Custos de implantação'!$C$5:$C$204,$A40,'Custos de implantação'!$D$5:$D$204,G$30,'Custos de implantação'!$G$5:$G$204,"&lt;&gt;Cancelado")</f>
        <v/>
      </c>
      <c r="H40" s="29">
        <f>SUMIFS('Custos de implantação'!$F$5:$F$204,'Custos de implantação'!$C$5:$C$204,$A40,'Custos de implantação'!$D$5:$D$204,H$30,'Custos de implantação'!$G$5:$G$204,"&lt;&gt;Cancelado")</f>
        <v/>
      </c>
      <c r="I40" s="29">
        <f>SUMIFS('Custos de implantação'!$F$5:$F$204,'Custos de implantação'!$C$5:$C$204,$A40,'Custos de implantação'!$D$5:$D$204,I$30,'Custos de implantação'!$G$5:$G$204,"&lt;&gt;Cancelado")</f>
        <v/>
      </c>
    </row>
    <row r="42">
      <c r="A42" s="8" t="inlineStr">
        <is>
          <t>PAGO × PREVISTO</t>
        </is>
      </c>
    </row>
    <row r="43">
      <c r="A43" t="inlineStr">
        <is>
          <t>Pago</t>
        </is>
      </c>
      <c r="B43" s="29">
        <f>SUMIFS('Custos de implantação'!$F$5:$F$204,'Custos de implantação'!$G$5:$G$204,$A43)</f>
        <v/>
      </c>
    </row>
    <row r="44">
      <c r="A44" t="inlineStr">
        <is>
          <t>Previsto</t>
        </is>
      </c>
      <c r="B44" s="29">
        <f>SUMIFS('Custos de implantação'!$F$5:$F$204,'Custos de implantação'!$G$5:$G$204,$A44)</f>
        <v/>
      </c>
    </row>
    <row r="45">
      <c r="A45" t="inlineStr">
        <is>
          <t>Cancelado</t>
        </is>
      </c>
      <c r="B45" s="29">
        <f>SUMIFS('Custos de implantação'!$F$5:$F$204,'Custos de implantação'!$G$5:$G$204,$A45)</f>
        <v/>
      </c>
    </row>
    <row r="48">
      <c r="A48" s="8" t="inlineStr">
        <is>
          <t>FLUXO MENSAL DA IMPLANTAÇÃO (com parcelamentos)</t>
        </is>
      </c>
    </row>
    <row r="49">
      <c r="A49" s="26" t="inlineStr">
        <is>
          <t>Mês</t>
        </is>
      </c>
      <c r="B49" s="26" t="inlineStr">
        <is>
          <t>Desembolso</t>
        </is>
      </c>
      <c r="C49" s="26" t="inlineStr">
        <is>
          <t>Acumulado</t>
        </is>
      </c>
    </row>
    <row r="50">
      <c r="A50">
        <f>'Custos de implantação'!$P$5</f>
        <v/>
      </c>
      <c r="B50" s="29">
        <f>SUMPRODUCT(('Custos de implantação'!$K$5:$K$204&gt;=0)*('Custos de implantação'!$K$5:$K$204&lt;=0)*('Custos de implantação'!$K$5:$K$204+'Custos de implantação'!$I$5:$I$204&gt;0)*('Custos de implantação'!$G$5:$G$204&lt;&gt;"Cancelado")*'Custos de implantação'!$F$5:$F$204/('Custos de implantação'!$I$5:$I$204+('Custos de implantação'!$I$5:$I$204=0)))</f>
        <v/>
      </c>
      <c r="C50" s="63">
        <f>B50</f>
        <v/>
      </c>
    </row>
    <row r="51">
      <c r="A51">
        <f>'Custos de implantação'!$P$6</f>
        <v/>
      </c>
      <c r="B51" s="29">
        <f>SUMPRODUCT(('Custos de implantação'!$K$5:$K$204&gt;=0)*('Custos de implantação'!$K$5:$K$204&lt;=1)*('Custos de implantação'!$K$5:$K$204+'Custos de implantação'!$I$5:$I$204&gt;1)*('Custos de implantação'!$G$5:$G$204&lt;&gt;"Cancelado")*'Custos de implantação'!$F$5:$F$204/('Custos de implantação'!$I$5:$I$204+('Custos de implantação'!$I$5:$I$204=0)))</f>
        <v/>
      </c>
      <c r="C51" s="63">
        <f>C50+B51</f>
        <v/>
      </c>
    </row>
    <row r="52">
      <c r="A52">
        <f>'Custos de implantação'!$P$7</f>
        <v/>
      </c>
      <c r="B52" s="29">
        <f>SUMPRODUCT(('Custos de implantação'!$K$5:$K$204&gt;=0)*('Custos de implantação'!$K$5:$K$204&lt;=2)*('Custos de implantação'!$K$5:$K$204+'Custos de implantação'!$I$5:$I$204&gt;2)*('Custos de implantação'!$G$5:$G$204&lt;&gt;"Cancelado")*'Custos de implantação'!$F$5:$F$204/('Custos de implantação'!$I$5:$I$204+('Custos de implantação'!$I$5:$I$204=0)))</f>
        <v/>
      </c>
      <c r="C52" s="63">
        <f>C51+B52</f>
        <v/>
      </c>
    </row>
    <row r="53">
      <c r="A53">
        <f>'Custos de implantação'!$P$8</f>
        <v/>
      </c>
      <c r="B53" s="29">
        <f>SUMPRODUCT(('Custos de implantação'!$K$5:$K$204&gt;=0)*('Custos de implantação'!$K$5:$K$204&lt;=3)*('Custos de implantação'!$K$5:$K$204+'Custos de implantação'!$I$5:$I$204&gt;3)*('Custos de implantação'!$G$5:$G$204&lt;&gt;"Cancelado")*'Custos de implantação'!$F$5:$F$204/('Custos de implantação'!$I$5:$I$204+('Custos de implantação'!$I$5:$I$204=0)))</f>
        <v/>
      </c>
      <c r="C53" s="63">
        <f>C52+B53</f>
        <v/>
      </c>
    </row>
    <row r="54">
      <c r="A54">
        <f>'Custos de implantação'!$P$9</f>
        <v/>
      </c>
      <c r="B54" s="29">
        <f>SUMPRODUCT(('Custos de implantação'!$K$5:$K$204&gt;=0)*('Custos de implantação'!$K$5:$K$204&lt;=4)*('Custos de implantação'!$K$5:$K$204+'Custos de implantação'!$I$5:$I$204&gt;4)*('Custos de implantação'!$G$5:$G$204&lt;&gt;"Cancelado")*'Custos de implantação'!$F$5:$F$204/('Custos de implantação'!$I$5:$I$204+('Custos de implantação'!$I$5:$I$204=0)))</f>
        <v/>
      </c>
      <c r="C54" s="63">
        <f>C53+B54</f>
        <v/>
      </c>
    </row>
    <row r="55">
      <c r="A55">
        <f>'Custos de implantação'!$P$10</f>
        <v/>
      </c>
      <c r="B55" s="29">
        <f>SUMPRODUCT(('Custos de implantação'!$K$5:$K$204&gt;=0)*('Custos de implantação'!$K$5:$K$204&lt;=5)*('Custos de implantação'!$K$5:$K$204+'Custos de implantação'!$I$5:$I$204&gt;5)*('Custos de implantação'!$G$5:$G$204&lt;&gt;"Cancelado")*'Custos de implantação'!$F$5:$F$204/('Custos de implantação'!$I$5:$I$204+('Custos de implantação'!$I$5:$I$204=0)))</f>
        <v/>
      </c>
      <c r="C55" s="63">
        <f>C54+B55</f>
        <v/>
      </c>
    </row>
    <row r="56">
      <c r="A56">
        <f>'Custos de implantação'!$P$11</f>
        <v/>
      </c>
      <c r="B56" s="29">
        <f>SUMPRODUCT(('Custos de implantação'!$K$5:$K$204&gt;=0)*('Custos de implantação'!$K$5:$K$204&lt;=6)*('Custos de implantação'!$K$5:$K$204+'Custos de implantação'!$I$5:$I$204&gt;6)*('Custos de implantação'!$G$5:$G$204&lt;&gt;"Cancelado")*'Custos de implantação'!$F$5:$F$204/('Custos de implantação'!$I$5:$I$204+('Custos de implantação'!$I$5:$I$204=0)))</f>
        <v/>
      </c>
      <c r="C56" s="63">
        <f>C55+B56</f>
        <v/>
      </c>
    </row>
    <row r="57">
      <c r="A57">
        <f>'Custos de implantação'!$P$12</f>
        <v/>
      </c>
      <c r="B57" s="29">
        <f>SUMPRODUCT(('Custos de implantação'!$K$5:$K$204&gt;=0)*('Custos de implantação'!$K$5:$K$204&lt;=7)*('Custos de implantação'!$K$5:$K$204+'Custos de implantação'!$I$5:$I$204&gt;7)*('Custos de implantação'!$G$5:$G$204&lt;&gt;"Cancelado")*'Custos de implantação'!$F$5:$F$204/('Custos de implantação'!$I$5:$I$204+('Custos de implantação'!$I$5:$I$204=0)))</f>
        <v/>
      </c>
      <c r="C57" s="63">
        <f>C56+B57</f>
        <v/>
      </c>
    </row>
    <row r="58">
      <c r="A58">
        <f>'Custos de implantação'!$P$13</f>
        <v/>
      </c>
      <c r="B58" s="29">
        <f>SUMPRODUCT(('Custos de implantação'!$K$5:$K$204&gt;=0)*('Custos de implantação'!$K$5:$K$204&lt;=8)*('Custos de implantação'!$K$5:$K$204+'Custos de implantação'!$I$5:$I$204&gt;8)*('Custos de implantação'!$G$5:$G$204&lt;&gt;"Cancelado")*'Custos de implantação'!$F$5:$F$204/('Custos de implantação'!$I$5:$I$204+('Custos de implantação'!$I$5:$I$204=0)))</f>
        <v/>
      </c>
      <c r="C58" s="63">
        <f>C57+B58</f>
        <v/>
      </c>
    </row>
    <row r="59">
      <c r="A59">
        <f>'Custos de implantação'!$P$14</f>
        <v/>
      </c>
      <c r="B59" s="29">
        <f>SUMPRODUCT(('Custos de implantação'!$K$5:$K$204&gt;=0)*('Custos de implantação'!$K$5:$K$204&lt;=9)*('Custos de implantação'!$K$5:$K$204+'Custos de implantação'!$I$5:$I$204&gt;9)*('Custos de implantação'!$G$5:$G$204&lt;&gt;"Cancelado")*'Custos de implantação'!$F$5:$F$204/('Custos de implantação'!$I$5:$I$204+('Custos de implantação'!$I$5:$I$204=0)))</f>
        <v/>
      </c>
      <c r="C59" s="63">
        <f>C58+B59</f>
        <v/>
      </c>
    </row>
    <row r="60">
      <c r="A60">
        <f>'Custos de implantação'!$P$15</f>
        <v/>
      </c>
      <c r="B60" s="29">
        <f>SUMPRODUCT(('Custos de implantação'!$K$5:$K$204&gt;=0)*('Custos de implantação'!$K$5:$K$204&lt;=10)*('Custos de implantação'!$K$5:$K$204+'Custos de implantação'!$I$5:$I$204&gt;10)*('Custos de implantação'!$G$5:$G$204&lt;&gt;"Cancelado")*'Custos de implantação'!$F$5:$F$204/('Custos de implantação'!$I$5:$I$204+('Custos de implantação'!$I$5:$I$204=0)))</f>
        <v/>
      </c>
      <c r="C60" s="63">
        <f>C59+B60</f>
        <v/>
      </c>
    </row>
    <row r="61">
      <c r="A61">
        <f>'Custos de implantação'!$P$16</f>
        <v/>
      </c>
      <c r="B61" s="29">
        <f>SUMPRODUCT(('Custos de implantação'!$K$5:$K$204&gt;=0)*('Custos de implantação'!$K$5:$K$204&lt;=11)*('Custos de implantação'!$K$5:$K$204+'Custos de implantação'!$I$5:$I$204&gt;11)*('Custos de implantação'!$G$5:$G$204&lt;&gt;"Cancelado")*'Custos de implantação'!$F$5:$F$204/('Custos de implantação'!$I$5:$I$204+('Custos de implantação'!$I$5:$I$204=0)))</f>
        <v/>
      </c>
      <c r="C61" s="63">
        <f>C60+B61</f>
        <v/>
      </c>
    </row>
    <row r="62">
      <c r="A62">
        <f>'Custos de implantação'!$P$17</f>
        <v/>
      </c>
      <c r="B62" s="29">
        <f>SUMPRODUCT(('Custos de implantação'!$K$5:$K$204&gt;=0)*('Custos de implantação'!$K$5:$K$204&lt;=12)*('Custos de implantação'!$K$5:$K$204+'Custos de implantação'!$I$5:$I$204&gt;12)*('Custos de implantação'!$G$5:$G$204&lt;&gt;"Cancelado")*'Custos de implantação'!$F$5:$F$204/('Custos de implantação'!$I$5:$I$204+('Custos de implantação'!$I$5:$I$204=0)))</f>
        <v/>
      </c>
      <c r="C62" s="63">
        <f>C61+B62</f>
        <v/>
      </c>
    </row>
    <row r="63">
      <c r="A63">
        <f>'Custos de implantação'!$P$18</f>
        <v/>
      </c>
      <c r="B63" s="29">
        <f>SUMPRODUCT(('Custos de implantação'!$K$5:$K$204&gt;=0)*('Custos de implantação'!$K$5:$K$204&lt;=13)*('Custos de implantação'!$K$5:$K$204+'Custos de implantação'!$I$5:$I$204&gt;13)*('Custos de implantação'!$G$5:$G$204&lt;&gt;"Cancelado")*'Custos de implantação'!$F$5:$F$204/('Custos de implantação'!$I$5:$I$204+('Custos de implantação'!$I$5:$I$204=0)))</f>
        <v/>
      </c>
      <c r="C63" s="63">
        <f>C62+B63</f>
        <v/>
      </c>
    </row>
    <row r="64">
      <c r="A64">
        <f>'Custos de implantação'!$P$19</f>
        <v/>
      </c>
      <c r="B64" s="29">
        <f>SUMPRODUCT(('Custos de implantação'!$K$5:$K$204&gt;=0)*('Custos de implantação'!$K$5:$K$204&lt;=14)*('Custos de implantação'!$K$5:$K$204+'Custos de implantação'!$I$5:$I$204&gt;14)*('Custos de implantação'!$G$5:$G$204&lt;&gt;"Cancelado")*'Custos de implantação'!$F$5:$F$204/('Custos de implantação'!$I$5:$I$204+('Custos de implantação'!$I$5:$I$204=0)))</f>
        <v/>
      </c>
      <c r="C64" s="63">
        <f>C63+B64</f>
        <v/>
      </c>
    </row>
    <row r="65">
      <c r="A65">
        <f>'Custos de implantação'!$P$20</f>
        <v/>
      </c>
      <c r="B65" s="29">
        <f>SUMPRODUCT(('Custos de implantação'!$K$5:$K$204&gt;=0)*('Custos de implantação'!$K$5:$K$204&lt;=15)*('Custos de implantação'!$K$5:$K$204+'Custos de implantação'!$I$5:$I$204&gt;15)*('Custos de implantação'!$G$5:$G$204&lt;&gt;"Cancelado")*'Custos de implantação'!$F$5:$F$204/('Custos de implantação'!$I$5:$I$204+('Custos de implantação'!$I$5:$I$204=0)))</f>
        <v/>
      </c>
      <c r="C65" s="63">
        <f>C64+B65</f>
        <v/>
      </c>
    </row>
    <row r="66">
      <c r="A66">
        <f>'Custos de implantação'!$P$21</f>
        <v/>
      </c>
      <c r="B66" s="29">
        <f>SUMPRODUCT(('Custos de implantação'!$K$5:$K$204&gt;=0)*('Custos de implantação'!$K$5:$K$204&lt;=16)*('Custos de implantação'!$K$5:$K$204+'Custos de implantação'!$I$5:$I$204&gt;16)*('Custos de implantação'!$G$5:$G$204&lt;&gt;"Cancelado")*'Custos de implantação'!$F$5:$F$204/('Custos de implantação'!$I$5:$I$204+('Custos de implantação'!$I$5:$I$204=0)))</f>
        <v/>
      </c>
      <c r="C66" s="63">
        <f>C65+B66</f>
        <v/>
      </c>
    </row>
    <row r="67">
      <c r="A67">
        <f>'Custos de implantação'!$P$22</f>
        <v/>
      </c>
      <c r="B67" s="29">
        <f>SUMPRODUCT(('Custos de implantação'!$K$5:$K$204&gt;=0)*('Custos de implantação'!$K$5:$K$204&lt;=17)*('Custos de implantação'!$K$5:$K$204+'Custos de implantação'!$I$5:$I$204&gt;17)*('Custos de implantação'!$G$5:$G$204&lt;&gt;"Cancelado")*'Custos de implantação'!$F$5:$F$204/('Custos de implantação'!$I$5:$I$204+('Custos de implantação'!$I$5:$I$204=0)))</f>
        <v/>
      </c>
      <c r="C67" s="63">
        <f>C66+B67</f>
        <v/>
      </c>
    </row>
    <row r="68">
      <c r="A68">
        <f>'Custos de implantação'!$P$23</f>
        <v/>
      </c>
      <c r="B68" s="29">
        <f>SUMPRODUCT(('Custos de implantação'!$K$5:$K$204&gt;=0)*('Custos de implantação'!$K$5:$K$204&lt;=18)*('Custos de implantação'!$K$5:$K$204+'Custos de implantação'!$I$5:$I$204&gt;18)*('Custos de implantação'!$G$5:$G$204&lt;&gt;"Cancelado")*'Custos de implantação'!$F$5:$F$204/('Custos de implantação'!$I$5:$I$204+('Custos de implantação'!$I$5:$I$204=0)))</f>
        <v/>
      </c>
      <c r="C68" s="63">
        <f>C67+B68</f>
        <v/>
      </c>
    </row>
    <row r="69">
      <c r="A69" s="7" t="inlineStr">
        <is>
          <t>Cada gasto entra do mês de início até o fim das parcelas — ex.: R$ 8.000 em 4x a partir de Set/26 = R$ 2.000/mês de set a dez.</t>
        </is>
      </c>
    </row>
    <row r="70">
      <c r="A70" s="7" t="inlineStr">
        <is>
          <t>Tudo se atualiza sozinho conforme você lança na aba 'Custos de implantação'.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conditionalFormatting sqref="C3">
    <cfRule type="cellIs" priority="1" operator="greaterThan" dxfId="3">
      <formula>0</formula>
    </cfRule>
    <cfRule type="cellIs" priority="2" operator="lessThanOrEqual" dxfId="2">
      <formula>0</formula>
    </cfRule>
  </conditionalFormatting>
  <conditionalFormatting sqref="B31:I40">
    <cfRule type="cellIs" priority="3" operator="greaterThan" dxfId="5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46" customWidth="1" min="5" max="5"/>
  </cols>
  <sheetData>
    <row r="1">
      <c r="A1" s="4" t="inlineStr">
        <is>
          <t>PAINEL DO MÊS — escolha o período e acompanhe</t>
        </is>
      </c>
      <c r="B1" s="5" t="n"/>
      <c r="C1" s="5" t="n"/>
      <c r="D1" s="5" t="n"/>
      <c r="E1" s="5" t="n"/>
    </row>
    <row r="2">
      <c r="A2" s="14" t="inlineStr">
        <is>
          <t>Período (0 = out em obras … 2 = dez/M1 … 17 = mar/M16)</t>
        </is>
      </c>
      <c r="B2" s="13" t="n">
        <v>4</v>
      </c>
      <c r="C2" s="14">
        <f>INDEX({"Out (obras)","Nov (obras)","Dez (M1)","Jan (M2)","Fev (M3)","Mar (M4)","Abr (M5)","Mai (M6)","Jun (M7)","Jul (M8)","Ago (M9)","Set (M10)","Out (M11)","Nov (M12)","Dez (M13)","Jan (M14)","Fev (M15)","Mar (M16)"},$B$2+1)</f>
        <v/>
      </c>
    </row>
    <row r="4">
      <c r="A4" s="56" t="inlineStr">
        <is>
          <t>Indicador</t>
        </is>
      </c>
      <c r="B4" s="56" t="inlineStr">
        <is>
          <t>Plano</t>
        </is>
      </c>
      <c r="C4" s="56" t="inlineStr">
        <is>
          <t>Realizado</t>
        </is>
      </c>
      <c r="D4" s="56" t="inlineStr">
        <is>
          <t>Desvio</t>
        </is>
      </c>
    </row>
    <row r="5">
      <c r="A5" t="inlineStr">
        <is>
          <t>Alunos ativos</t>
        </is>
      </c>
      <c r="B5" s="30">
        <f>INDEX('Cenário Moderado'!$B$7:$S$7,$B$2+1)</f>
        <v/>
      </c>
      <c r="C5" s="30">
        <f>INDEX(Realizado!$B$2:$S$2,$B$2+1)</f>
        <v/>
      </c>
      <c r="D5" s="30">
        <f>INDEX(Realizado!$B$2:$S$2,$B$2+1)-INDEX('Cenário Moderado'!$B$7:$S$7,$B$2+1)</f>
        <v/>
      </c>
    </row>
    <row r="6">
      <c r="A6" t="inlineStr">
        <is>
          <t>Matrículas no mês</t>
        </is>
      </c>
      <c r="B6" s="27">
        <f>INDEX('Cenário Moderado'!$B$4:$S$4,$B$2+1)</f>
        <v/>
      </c>
      <c r="C6" s="27">
        <f>INDEX(Realizado!$B$3:$S$3,$B$2+1)</f>
        <v/>
      </c>
      <c r="D6" s="27">
        <f>INDEX(Realizado!$B$3:$S$3,$B$2+1)-INDEX('Cenário Moderado'!$B$4:$S$4,$B$2+1)</f>
        <v/>
      </c>
    </row>
    <row r="7">
      <c r="A7" s="14" t="inlineStr">
        <is>
          <t>Receita recebida</t>
        </is>
      </c>
      <c r="B7" s="51">
        <f>INDEX('Cenário Moderado'!$B$15:$S$15,$B$2+1)</f>
        <v/>
      </c>
      <c r="C7" s="51">
        <f>INDEX(Realizado!$B$11:$S$11,$B$2+1)</f>
        <v/>
      </c>
      <c r="D7" s="51">
        <f>INDEX(Realizado!$B$11:$S$11,$B$2+1)-INDEX('Cenário Moderado'!$B$15:$S$15,$B$2+1)</f>
        <v/>
      </c>
    </row>
    <row r="8">
      <c r="A8" t="inlineStr">
        <is>
          <t>Impostos</t>
        </is>
      </c>
      <c r="B8" s="52">
        <f>INDEX('Cenário Moderado'!$B$23:$S$23,$B$2+1)</f>
        <v/>
      </c>
      <c r="C8" s="52">
        <f>INDEX(Realizado!$B$14:$S$14,$B$2+1)</f>
        <v/>
      </c>
      <c r="D8" s="52">
        <f>INDEX(Realizado!$B$14:$S$14,$B$2+1)-INDEX('Cenário Moderado'!$B$23:$S$23,$B$2+1)</f>
        <v/>
      </c>
    </row>
    <row r="9">
      <c r="A9" t="inlineStr">
        <is>
          <t>Folha + encargos mensais</t>
        </is>
      </c>
      <c r="B9" s="52">
        <f>INDEX('Cenário Moderado'!$B$27:$S$27,$B$2+1)</f>
        <v/>
      </c>
      <c r="C9" s="52">
        <f>INDEX(Realizado!$B$17:$S$17,$B$2+1)</f>
        <v/>
      </c>
      <c r="D9" s="52">
        <f>INDEX(Realizado!$B$17:$S$17,$B$2+1)-INDEX('Cenário Moderado'!$B$27:$S$27,$B$2+1)</f>
        <v/>
      </c>
    </row>
    <row r="10">
      <c r="A10" t="inlineStr">
        <is>
          <t>13º e férias</t>
        </is>
      </c>
      <c r="B10" s="52">
        <f>INDEX('Cenário Moderado'!$B$29:$S$29,$B$2+1)</f>
        <v/>
      </c>
      <c r="C10" s="52">
        <f>INDEX(Realizado!$B$19:$S$19,$B$2+1)</f>
        <v/>
      </c>
      <c r="D10" s="52">
        <f>INDEX(Realizado!$B$19:$S$19,$B$2+1)-INDEX('Cenário Moderado'!$B$29:$S$29,$B$2+1)</f>
        <v/>
      </c>
    </row>
    <row r="11">
      <c r="A11" t="inlineStr">
        <is>
          <t>Professores</t>
        </is>
      </c>
      <c r="B11" s="52">
        <f>INDEX('Cenário Moderado'!$B$30:$S$30,$B$2+1)</f>
        <v/>
      </c>
      <c r="C11" s="52">
        <f>INDEX(Realizado!$B$20:$S$20,$B$2+1)</f>
        <v/>
      </c>
      <c r="D11" s="52">
        <f>INDEX(Realizado!$B$20:$S$20,$B$2+1)-INDEX('Cenário Moderado'!$B$30:$S$30,$B$2+1)</f>
        <v/>
      </c>
    </row>
    <row r="12">
      <c r="A12" s="14" t="inlineStr">
        <is>
          <t>Total de despesas</t>
        </is>
      </c>
      <c r="B12" s="51">
        <f>INDEX('Cenário Moderado'!$B$46:$S$46,$B$2+1)</f>
        <v/>
      </c>
      <c r="C12" s="51">
        <f>INDEX(Realizado!$B$37:$S$37,$B$2+1)</f>
        <v/>
      </c>
      <c r="D12" s="51">
        <f>INDEX(Realizado!$B$37:$S$37,$B$2+1)-INDEX('Cenário Moderado'!$B$46:$S$46,$B$2+1)</f>
        <v/>
      </c>
    </row>
    <row r="13">
      <c r="A13" s="14" t="inlineStr">
        <is>
          <t>Resultado do mês</t>
        </is>
      </c>
      <c r="B13" s="51">
        <f>INDEX('Cenário Moderado'!$B$48:$S$48,$B$2+1)</f>
        <v/>
      </c>
      <c r="C13" s="51">
        <f>INDEX(Realizado!$B$39:$S$39,$B$2+1)</f>
        <v/>
      </c>
      <c r="D13" s="51">
        <f>INDEX(Realizado!$B$39:$S$39,$B$2+1)-INDEX('Cenário Moderado'!$B$48:$S$48,$B$2+1)</f>
        <v/>
      </c>
    </row>
    <row r="14">
      <c r="A14" s="14" t="inlineStr">
        <is>
          <t>Caixa acumulado</t>
        </is>
      </c>
      <c r="B14" s="51">
        <f>INDEX('Cenário Moderado'!$B$49:$S$49,$B$2+1)</f>
        <v/>
      </c>
      <c r="C14" s="51">
        <f>INDEX(Realizado!$B$40:$S$40,$B$2+1)</f>
        <v/>
      </c>
      <c r="D14" s="51">
        <f>INDEX(Realizado!$B$40:$S$40,$B$2+1)-INDEX('Cenário Moderado'!$B$49:$S$49,$B$2+1)</f>
        <v/>
      </c>
    </row>
    <row r="16">
      <c r="A16" s="8" t="inlineStr">
        <is>
          <t>ALERTAS</t>
        </is>
      </c>
      <c r="B16" s="9" t="n"/>
      <c r="C16" s="9" t="n"/>
      <c r="D16" s="9" t="n"/>
      <c r="E16" s="9" t="n"/>
    </row>
    <row r="17">
      <c r="A17" t="inlineStr">
        <is>
          <t>Ocupação das salas</t>
        </is>
      </c>
      <c r="B17" s="28">
        <f>INDEX('Cenário Moderado'!$B$9:$S$9,$B$2+1)</f>
        <v/>
      </c>
      <c r="C17" s="64">
        <f>IF(INDEX('Cenário Moderado'!$B$9:$S$9,$B$2+1)&gt;1,"🔴 A grade não cabe nas salas",IF(INDEX('Cenário Moderado'!$B$9:$S$9,$B$2+1)&gt;0.85,"🟡 Grade quase cheia","🟢 Folga na grade"))</f>
        <v/>
      </c>
    </row>
    <row r="18">
      <c r="A18" t="inlineStr">
        <is>
          <t>Caixa acumulado do plano</t>
        </is>
      </c>
      <c r="B18" s="52">
        <f>INDEX('Cenário Moderado'!$B$49:$S$49,$B$2+1)</f>
        <v/>
      </c>
      <c r="C18" s="64">
        <f>IF(INDEX('Cenário Moderado'!$B$49:$S$49,$B$2+1)&lt;0,"🔴 Caixa negativo — precisa de capital de giro","🟢 Caixa positivo")</f>
        <v/>
      </c>
    </row>
    <row r="19">
      <c r="A19" t="inlineStr">
        <is>
          <t>Alunos vs break-even</t>
        </is>
      </c>
      <c r="B19" s="30">
        <f>INDEX('Cenário Moderado'!$B$7:$S$7,$B$2+1)</f>
        <v/>
      </c>
      <c r="C19" s="64">
        <f>IF(INDEX('Cenário Moderado'!$B$7:$S$7,$B$2+1)&gt;=Premissas!$B$90,"🟢 Acima do break-even","🔴 Abaixo do break-even de "&amp;Premissas!$B$90&amp;" alunos")</f>
        <v/>
      </c>
    </row>
    <row r="20">
      <c r="A20" t="inlineStr">
        <is>
          <t>Custos de implantação lançados</t>
        </is>
      </c>
      <c r="B20" s="29">
        <f>'Análise de custos'!A3</f>
        <v/>
      </c>
      <c r="C20" s="64">
        <f>IF('Análise de custos'!C3&gt;0,"🔴 Estourou o orçado no CAPEX em "&amp;TEXT('Análise de custos'!C3,"R$ #,##0"),"🟢 Dentro do orçado")</f>
        <v/>
      </c>
    </row>
    <row r="22">
      <c r="A22" s="7" t="inlineStr">
        <is>
          <t>Plano = Cenário Moderado. Realizado = o que você lançou. Meses não lançados aparecem com desvio negativo cheio.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mergeCells count="4">
    <mergeCell ref="C18:E18"/>
    <mergeCell ref="C20:E20"/>
    <mergeCell ref="C17:E17"/>
    <mergeCell ref="C19:E19"/>
  </mergeCells>
  <conditionalFormatting sqref="D5">
    <cfRule type="cellIs" priority="1" operator="greaterThan" dxfId="2">
      <formula>0</formula>
    </cfRule>
    <cfRule type="cellIs" priority="2" operator="lessThan" dxfId="3">
      <formula>0</formula>
    </cfRule>
  </conditionalFormatting>
  <conditionalFormatting sqref="D6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D7">
    <cfRule type="cellIs" priority="5" operator="greaterThan" dxfId="2">
      <formula>0</formula>
    </cfRule>
    <cfRule type="cellIs" priority="6" operator="lessThan" dxfId="3">
      <formula>0</formula>
    </cfRule>
  </conditionalFormatting>
  <conditionalFormatting sqref="D13">
    <cfRule type="cellIs" priority="7" operator="greaterThan" dxfId="2">
      <formula>0</formula>
    </cfRule>
    <cfRule type="cellIs" priority="8" operator="lessThan" dxfId="3">
      <formula>0</formula>
    </cfRule>
  </conditionalFormatting>
  <conditionalFormatting sqref="D14">
    <cfRule type="cellIs" priority="9" operator="greaterThan" dxfId="2">
      <formula>0</formula>
    </cfRule>
    <cfRule type="cellIs" priority="10" operator="lessThan" dxfId="3">
      <formula>0</formula>
    </cfRule>
  </conditionalFormatting>
  <conditionalFormatting sqref="D8">
    <cfRule type="cellIs" priority="11" operator="greaterThan" dxfId="3">
      <formula>0</formula>
    </cfRule>
    <cfRule type="cellIs" priority="12" operator="lessThan" dxfId="2">
      <formula>0</formula>
    </cfRule>
  </conditionalFormatting>
  <conditionalFormatting sqref="D9">
    <cfRule type="cellIs" priority="13" operator="greaterThan" dxfId="3">
      <formula>0</formula>
    </cfRule>
    <cfRule type="cellIs" priority="14" operator="lessThan" dxfId="2">
      <formula>0</formula>
    </cfRule>
  </conditionalFormatting>
  <conditionalFormatting sqref="D10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D11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D12">
    <cfRule type="cellIs" priority="19" operator="greaterThan" dxfId="3">
      <formula>0</formula>
    </cfRule>
    <cfRule type="cellIs" priority="20" operator="lessThan" dxfId="2">
      <formula>0</formula>
    </cfRule>
  </conditionalFormatting>
  <dataValidations count="1">
    <dataValidation sqref="B2" showDropDown="0" showInputMessage="0" showErrorMessage="0" allowBlank="0" errorTitle="Período inválido" error="Digite um período de 0 a 17." type="whole" operator="between">
      <formula1>0</formula1>
      <formula2>17</formula2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6" customWidth="1" min="3" max="3"/>
    <col width="13" customWidth="1" min="4" max="4"/>
    <col width="13" customWidth="1" min="5" max="5"/>
    <col width="55" customWidth="1" min="6" max="6"/>
  </cols>
  <sheetData>
    <row r="1">
      <c r="A1" s="4" t="inlineStr">
        <is>
          <t>Categoria</t>
        </is>
      </c>
      <c r="B1" s="4" t="inlineStr">
        <is>
          <t>Item</t>
        </is>
      </c>
      <c r="C1" s="4" t="inlineStr">
        <is>
          <t>Qtd</t>
        </is>
      </c>
      <c r="D1" s="4" t="inlineStr">
        <is>
          <t>Preço</t>
        </is>
      </c>
      <c r="E1" s="4" t="inlineStr">
        <is>
          <t>Total</t>
        </is>
      </c>
      <c r="F1" s="4" t="inlineStr">
        <is>
          <t>Obs</t>
        </is>
      </c>
    </row>
    <row r="2">
      <c r="A2" s="8" t="inlineStr">
        <is>
          <t>1) Reforma dos banheiros</t>
        </is>
      </c>
      <c r="B2" s="9" t="n"/>
      <c r="C2" s="9" t="n"/>
      <c r="D2" s="9" t="n"/>
      <c r="E2" s="9" t="n"/>
      <c r="F2" s="9" t="n"/>
    </row>
    <row r="3">
      <c r="A3" t="inlineStr">
        <is>
          <t>Construção</t>
        </is>
      </c>
      <c r="B3" t="inlineStr">
        <is>
          <t>Blocos/tijolos</t>
        </is>
      </c>
      <c r="D3" s="65" t="n">
        <v>800</v>
      </c>
      <c r="E3" s="66">
        <f>IF(OR(C3="",D3=""),IF(D3="",0,D3),C3*D3)</f>
        <v/>
      </c>
      <c r="F3" s="20" t="inlineStr">
        <is>
          <t>⚠ ESTIMATIVA — trocar por orçamento</t>
        </is>
      </c>
    </row>
    <row r="4">
      <c r="A4" t="inlineStr">
        <is>
          <t>Construção</t>
        </is>
      </c>
      <c r="B4" t="inlineStr">
        <is>
          <t>Cimento</t>
        </is>
      </c>
      <c r="D4" s="65" t="n">
        <v>600</v>
      </c>
      <c r="E4" s="66">
        <f>IF(OR(C4="",D4=""),IF(D4="",0,D4),C4*D4)</f>
        <v/>
      </c>
      <c r="F4" s="20" t="inlineStr">
        <is>
          <t>⚠ ESTIMATIVA — trocar por orçamento</t>
        </is>
      </c>
    </row>
    <row r="5">
      <c r="A5" t="inlineStr">
        <is>
          <t>Construção</t>
        </is>
      </c>
      <c r="B5" t="inlineStr">
        <is>
          <t>Areia</t>
        </is>
      </c>
      <c r="D5" s="65" t="n">
        <v>400</v>
      </c>
      <c r="E5" s="66">
        <f>IF(OR(C5="",D5=""),IF(D5="",0,D5),C5*D5)</f>
        <v/>
      </c>
      <c r="F5" s="20" t="inlineStr">
        <is>
          <t>⚠ ESTIMATIVA — trocar por orçamento</t>
        </is>
      </c>
    </row>
    <row r="6">
      <c r="A6" t="inlineStr">
        <is>
          <t>Construção</t>
        </is>
      </c>
      <c r="B6" t="inlineStr">
        <is>
          <t>Argamassa</t>
        </is>
      </c>
      <c r="D6" s="65" t="n">
        <v>500</v>
      </c>
      <c r="E6" s="66">
        <f>IF(OR(C6="",D6=""),IF(D6="",0,D6),C6*D6)</f>
        <v/>
      </c>
      <c r="F6" s="20" t="inlineStr">
        <is>
          <t>⚠ ESTIMATIVA — trocar por orçamento</t>
        </is>
      </c>
    </row>
    <row r="7">
      <c r="A7" t="inlineStr">
        <is>
          <t>Construção</t>
        </is>
      </c>
      <c r="B7" t="inlineStr">
        <is>
          <t>Impermeabilizante</t>
        </is>
      </c>
      <c r="D7" s="65" t="n">
        <v>900</v>
      </c>
      <c r="E7" s="66">
        <f>IF(OR(C7="",D7=""),IF(D7="",0,D7),C7*D7)</f>
        <v/>
      </c>
      <c r="F7" s="20" t="inlineStr">
        <is>
          <t>⚠ ESTIMATIVA — trocar por orçamento</t>
        </is>
      </c>
    </row>
    <row r="8">
      <c r="A8" t="inlineStr">
        <is>
          <t>Construção</t>
        </is>
      </c>
      <c r="B8" t="inlineStr">
        <is>
          <t>Rejunte</t>
        </is>
      </c>
      <c r="D8" s="65" t="n">
        <v>300</v>
      </c>
      <c r="E8" s="66">
        <f>IF(OR(C8="",D8=""),IF(D8="",0,D8),C8*D8)</f>
        <v/>
      </c>
      <c r="F8" s="20" t="inlineStr">
        <is>
          <t>⚠ ESTIMATIVA — trocar por orçamento</t>
        </is>
      </c>
    </row>
    <row r="9">
      <c r="A9" t="inlineStr">
        <is>
          <t>Construção</t>
        </is>
      </c>
      <c r="B9" t="inlineStr">
        <is>
          <t>Portas</t>
        </is>
      </c>
      <c r="C9" s="67" t="n">
        <v>6</v>
      </c>
      <c r="D9" s="65" t="n">
        <v>900</v>
      </c>
      <c r="E9" s="66">
        <f>IF(OR(C9="",D9=""),IF(D9="",0,D9),C9*D9)</f>
        <v/>
      </c>
      <c r="F9" s="7" t="inlineStr">
        <is>
          <t>3 banheiros térreos, 2 mezanino, 1 interno</t>
        </is>
      </c>
    </row>
    <row r="10">
      <c r="A10" t="inlineStr">
        <is>
          <t>Construção</t>
        </is>
      </c>
      <c r="B10" t="inlineStr">
        <is>
          <t>Batentes</t>
        </is>
      </c>
      <c r="D10" s="65" t="n">
        <v>1200</v>
      </c>
      <c r="E10" s="66">
        <f>IF(OR(C10="",D10=""),IF(D10="",0,D10),C10*D10)</f>
        <v/>
      </c>
      <c r="F10" s="20" t="inlineStr">
        <is>
          <t>⚠ ESTIMATIVA — trocar por orçamento</t>
        </is>
      </c>
    </row>
    <row r="11">
      <c r="A11" t="inlineStr">
        <is>
          <t>Construção</t>
        </is>
      </c>
      <c r="B11" t="inlineStr">
        <is>
          <t>Fechaduras/trincos</t>
        </is>
      </c>
      <c r="C11" s="67" t="n">
        <v>6</v>
      </c>
      <c r="D11" s="65" t="n">
        <v>200</v>
      </c>
      <c r="E11" s="66">
        <f>IF(OR(C11="",D11=""),IF(D11="",0,D11),C11*D11)</f>
        <v/>
      </c>
    </row>
    <row r="12">
      <c r="A12" t="inlineStr">
        <is>
          <t>Demolição</t>
        </is>
      </c>
      <c r="B12" t="inlineStr">
        <is>
          <t>Demolição</t>
        </is>
      </c>
      <c r="D12" s="65" t="n">
        <v>2500</v>
      </c>
      <c r="E12" s="66">
        <f>IF(OR(C12="",D12=""),IF(D12="",0,D12),C12*D12)</f>
        <v/>
      </c>
      <c r="F12" s="20" t="inlineStr">
        <is>
          <t>⚠ ESTIMATIVA — trocar por orçamento</t>
        </is>
      </c>
    </row>
    <row r="13">
      <c r="A13" t="inlineStr">
        <is>
          <t>Demolição</t>
        </is>
      </c>
      <c r="B13" t="inlineStr">
        <is>
          <t>Retirada de entulho</t>
        </is>
      </c>
      <c r="D13" s="65" t="n">
        <v>800</v>
      </c>
      <c r="E13" s="66">
        <f>IF(OR(C13="",D13=""),IF(D13="",0,D13),C13*D13)</f>
        <v/>
      </c>
      <c r="F13" s="20" t="inlineStr">
        <is>
          <t>⚠ ESTIMATIVA — trocar por orçamento</t>
        </is>
      </c>
    </row>
    <row r="14">
      <c r="A14" t="inlineStr">
        <is>
          <t>Demolição</t>
        </is>
      </c>
      <c r="B14" t="inlineStr">
        <is>
          <t>Caçamba</t>
        </is>
      </c>
      <c r="C14" s="67" t="n">
        <v>1</v>
      </c>
      <c r="D14" s="65" t="n">
        <v>450</v>
      </c>
      <c r="E14" s="66">
        <f>IF(OR(C14="",D14=""),IF(D14="",0,D14),C14*D14)</f>
        <v/>
      </c>
    </row>
    <row r="15">
      <c r="A15" t="inlineStr">
        <is>
          <t>Hidráulica</t>
        </is>
      </c>
      <c r="B15" t="inlineStr">
        <is>
          <t>Tubos, conexões, registros, válvulas</t>
        </is>
      </c>
      <c r="D15" s="65" t="n">
        <v>2500</v>
      </c>
      <c r="E15" s="66">
        <f>IF(OR(C15="",D15=""),IF(D15="",0,D15),C15*D15)</f>
        <v/>
      </c>
      <c r="F15" s="20" t="inlineStr">
        <is>
          <t>⚠ ESTIMATIVA — trocar por orçamento</t>
        </is>
      </c>
    </row>
    <row r="16">
      <c r="A16" t="inlineStr">
        <is>
          <t>Hidráulica</t>
        </is>
      </c>
      <c r="B16" t="inlineStr">
        <is>
          <t>Encanador</t>
        </is>
      </c>
      <c r="D16" s="65" t="n">
        <v>3500</v>
      </c>
      <c r="E16" s="66">
        <f>IF(OR(C16="",D16=""),IF(D16="",0,D16),C16*D16)</f>
        <v/>
      </c>
      <c r="F16" s="20" t="inlineStr">
        <is>
          <t>⚠ ESTIMATIVA — trocar por orçamento</t>
        </is>
      </c>
    </row>
    <row r="17">
      <c r="A17" t="inlineStr">
        <is>
          <t>Louças</t>
        </is>
      </c>
      <c r="B17" t="inlineStr">
        <is>
          <t>Vasos sanitários</t>
        </is>
      </c>
      <c r="C17" s="67" t="n">
        <v>5</v>
      </c>
      <c r="D17" s="65" t="n">
        <v>700</v>
      </c>
      <c r="E17" s="66">
        <f>IF(OR(C17="",D17=""),IF(D17="",0,D17),C17*D17)</f>
        <v/>
      </c>
    </row>
    <row r="18">
      <c r="A18" t="inlineStr">
        <is>
          <t>Louças</t>
        </is>
      </c>
      <c r="B18" t="inlineStr">
        <is>
          <t>Assentos sanitários</t>
        </is>
      </c>
      <c r="C18" s="67" t="n">
        <v>6</v>
      </c>
      <c r="D18" s="65" t="n">
        <v>120</v>
      </c>
      <c r="E18" s="66">
        <f>IF(OR(C18="",D18=""),IF(D18="",0,D18),C18*D18)</f>
        <v/>
      </c>
    </row>
    <row r="19">
      <c r="A19" t="inlineStr">
        <is>
          <t>Louças</t>
        </is>
      </c>
      <c r="B19" t="inlineStr">
        <is>
          <t>Pias/cubas</t>
        </is>
      </c>
      <c r="C19" s="67" t="n">
        <v>3</v>
      </c>
      <c r="D19" s="65" t="n">
        <v>450</v>
      </c>
      <c r="E19" s="66">
        <f>IF(OR(C19="",D19=""),IF(D19="",0,D19),C19*D19)</f>
        <v/>
      </c>
    </row>
    <row r="20">
      <c r="A20" t="inlineStr">
        <is>
          <t>Louças</t>
        </is>
      </c>
      <c r="B20" t="inlineStr">
        <is>
          <t>Torneiras</t>
        </is>
      </c>
      <c r="C20" s="67" t="n">
        <v>3</v>
      </c>
      <c r="D20" s="65" t="n">
        <v>220</v>
      </c>
      <c r="E20" s="66">
        <f>IF(OR(C20="",D20=""),IF(D20="",0,D20),C20*D20)</f>
        <v/>
      </c>
    </row>
    <row r="21">
      <c r="A21" t="inlineStr">
        <is>
          <t>Louças</t>
        </is>
      </c>
      <c r="B21" t="inlineStr">
        <is>
          <t>Chuveiros</t>
        </is>
      </c>
      <c r="C21" s="67" t="n">
        <v>1</v>
      </c>
      <c r="D21" s="65" t="n">
        <v>120</v>
      </c>
      <c r="E21" s="66">
        <f>IF(OR(C21="",D21=""),IF(D21="",0,D21),C21*D21)</f>
        <v/>
      </c>
    </row>
    <row r="22">
      <c r="A22" t="inlineStr">
        <is>
          <t>Louças</t>
        </is>
      </c>
      <c r="B22" t="inlineStr">
        <is>
          <t>Espelhos</t>
        </is>
      </c>
      <c r="C22" s="67" t="n">
        <v>3</v>
      </c>
      <c r="D22" s="65" t="n">
        <v>350</v>
      </c>
      <c r="E22" s="66">
        <f>IF(OR(C22="",D22=""),IF(D22="",0,D22),C22*D22)</f>
        <v/>
      </c>
    </row>
    <row r="23">
      <c r="A23" t="inlineStr">
        <is>
          <t>Louças</t>
        </is>
      </c>
      <c r="B23" t="inlineStr">
        <is>
          <t>Instalação de louças</t>
        </is>
      </c>
      <c r="D23" s="65" t="n">
        <v>1800</v>
      </c>
      <c r="E23" s="66">
        <f>IF(OR(C23="",D23=""),IF(D23="",0,D23),C23*D23)</f>
        <v/>
      </c>
      <c r="F23" s="20" t="inlineStr">
        <is>
          <t>⚠ ESTIMATIVA — trocar por orçamento</t>
        </is>
      </c>
    </row>
    <row r="24">
      <c r="A24" t="inlineStr">
        <is>
          <t>Acessibilidade</t>
        </is>
      </c>
      <c r="B24" t="inlineStr">
        <is>
          <t>Vaso sanitário acessível</t>
        </is>
      </c>
      <c r="C24" s="67" t="n">
        <v>1</v>
      </c>
      <c r="D24" s="65" t="n">
        <v>1000</v>
      </c>
      <c r="E24" s="66">
        <f>IF(OR(C24="",D24=""),IF(D24="",0,D24),C24*D24)</f>
        <v/>
      </c>
    </row>
    <row r="25">
      <c r="A25" t="inlineStr">
        <is>
          <t>Acessibilidade</t>
        </is>
      </c>
      <c r="B25" t="inlineStr">
        <is>
          <t>Pia acessível</t>
        </is>
      </c>
      <c r="C25" s="67" t="n">
        <v>1</v>
      </c>
      <c r="D25" s="65" t="n">
        <v>700</v>
      </c>
      <c r="E25" s="66">
        <f>IF(OR(C25="",D25=""),IF(D25="",0,D25),C25*D25)</f>
        <v/>
      </c>
    </row>
    <row r="26">
      <c r="A26" t="inlineStr">
        <is>
          <t>Acessibilidade</t>
        </is>
      </c>
      <c r="B26" t="inlineStr">
        <is>
          <t>Barras de apoio</t>
        </is>
      </c>
      <c r="C26" s="67" t="n">
        <v>1</v>
      </c>
      <c r="D26" s="65" t="n">
        <v>500</v>
      </c>
      <c r="E26" s="66">
        <f>IF(OR(C26="",D26=""),IF(D26="",0,D26),C26*D26)</f>
        <v/>
      </c>
    </row>
    <row r="27">
      <c r="A27" t="inlineStr">
        <is>
          <t>Acessibilidade</t>
        </is>
      </c>
      <c r="B27" t="inlineStr">
        <is>
          <t>Corrimão</t>
        </is>
      </c>
      <c r="C27" s="67" t="n">
        <v>1</v>
      </c>
      <c r="D27" s="65" t="n">
        <v>800</v>
      </c>
      <c r="E27" s="66">
        <f>IF(OR(C27="",D27=""),IF(D27="",0,D27),C27*D27)</f>
        <v/>
      </c>
      <c r="F27" s="20" t="inlineStr">
        <is>
          <t>⚠ ESTIMATIVA — trocar por orçamento</t>
        </is>
      </c>
    </row>
    <row r="28">
      <c r="A28" t="inlineStr">
        <is>
          <t>Acessibilidade</t>
        </is>
      </c>
      <c r="B28" t="inlineStr">
        <is>
          <t>Espelho + torneira acessíveis</t>
        </is>
      </c>
      <c r="C28" s="67" t="n">
        <v>1</v>
      </c>
      <c r="D28" s="65" t="n">
        <v>600</v>
      </c>
      <c r="E28" s="66">
        <f>IF(OR(C28="",D28=""),IF(D28="",0,D28),C28*D28)</f>
        <v/>
      </c>
      <c r="F28" s="20" t="inlineStr">
        <is>
          <t>⚠ ESTIMATIVA — trocar por orçamento</t>
        </is>
      </c>
    </row>
    <row r="29">
      <c r="A29" t="inlineStr">
        <is>
          <t>Revestimento</t>
        </is>
      </c>
      <c r="B29" t="inlineStr">
        <is>
          <t>Piso, azulejos, argamassa, rejunte, rodapé</t>
        </is>
      </c>
      <c r="D29" s="65" t="n">
        <v>6000</v>
      </c>
      <c r="E29" s="66">
        <f>IF(OR(C29="",D29=""),IF(D29="",0,D29),C29*D29)</f>
        <v/>
      </c>
      <c r="F29" s="20" t="inlineStr">
        <is>
          <t>⚠ ESTIMATIVA — trocar por orçamento</t>
        </is>
      </c>
    </row>
    <row r="30">
      <c r="A30" t="inlineStr">
        <is>
          <t>Pintura</t>
        </is>
      </c>
      <c r="B30" t="inlineStr">
        <is>
          <t>Tinta, selador, massa</t>
        </is>
      </c>
      <c r="D30" s="65" t="n">
        <v>2500</v>
      </c>
      <c r="E30" s="66">
        <f>IF(OR(C30="",D30=""),IF(D30="",0,D30),C30*D30)</f>
        <v/>
      </c>
      <c r="F30" s="20" t="inlineStr">
        <is>
          <t>⚠ ESTIMATIVA — trocar por orçamento</t>
        </is>
      </c>
    </row>
    <row r="31">
      <c r="A31" t="inlineStr">
        <is>
          <t>Elétrica</t>
        </is>
      </c>
      <c r="B31" t="inlineStr">
        <is>
          <t>Fiação, conduítes, tomadas, luminárias</t>
        </is>
      </c>
      <c r="D31" s="65" t="n">
        <v>4500</v>
      </c>
      <c r="E31" s="66">
        <f>IF(OR(C31="",D31=""),IF(D31="",0,D31),C31*D31)</f>
        <v/>
      </c>
      <c r="F31" s="20" t="inlineStr">
        <is>
          <t>⚠ ESTIMATIVA — trocar por orçamento</t>
        </is>
      </c>
    </row>
    <row r="32">
      <c r="A32" t="inlineStr">
        <is>
          <t>Ventilação</t>
        </is>
      </c>
      <c r="B32" t="inlineStr">
        <is>
          <t>Exaustores e dutos</t>
        </is>
      </c>
      <c r="D32" s="65" t="n">
        <v>1500</v>
      </c>
      <c r="E32" s="66">
        <f>IF(OR(C32="",D32=""),IF(D32="",0,D32),C32*D32)</f>
        <v/>
      </c>
      <c r="F32" s="20" t="inlineStr">
        <is>
          <t>⚠ ESTIMATIVA — trocar por orçamento</t>
        </is>
      </c>
    </row>
    <row r="33">
      <c r="A33" t="inlineStr">
        <is>
          <t>Acessórios</t>
        </is>
      </c>
      <c r="B33" t="inlineStr">
        <is>
          <t>Porta-papel higiênico</t>
        </is>
      </c>
      <c r="C33" s="67" t="n">
        <v>6</v>
      </c>
      <c r="D33" s="65" t="n">
        <v>50</v>
      </c>
      <c r="E33" s="66">
        <f>IF(OR(C33="",D33=""),IF(D33="",0,D33),C33*D33)</f>
        <v/>
      </c>
    </row>
    <row r="34">
      <c r="A34" t="inlineStr">
        <is>
          <t>Acessórios</t>
        </is>
      </c>
      <c r="B34" t="inlineStr">
        <is>
          <t>Suporte papel-toalha</t>
        </is>
      </c>
      <c r="C34" s="67" t="n">
        <v>6</v>
      </c>
      <c r="D34" s="65" t="n">
        <v>50</v>
      </c>
      <c r="E34" s="66">
        <f>IF(OR(C34="",D34=""),IF(D34="",0,D34),C34*D34)</f>
        <v/>
      </c>
    </row>
    <row r="35">
      <c r="A35" t="inlineStr">
        <is>
          <t>Acessórios</t>
        </is>
      </c>
      <c r="B35" t="inlineStr">
        <is>
          <t>Lixeiras</t>
        </is>
      </c>
      <c r="C35" s="67" t="n">
        <v>11</v>
      </c>
      <c r="D35" s="65" t="n">
        <v>50</v>
      </c>
      <c r="E35" s="66">
        <f>IF(OR(C35="",D35=""),IF(D35="",0,D35),C35*D35)</f>
        <v/>
      </c>
    </row>
    <row r="36">
      <c r="A36" t="inlineStr">
        <is>
          <t>Mão de obra</t>
        </is>
      </c>
      <c r="B36" t="inlineStr">
        <is>
          <t>Pedreiro, servente, encanador, eletricista, azulejista, pintor</t>
        </is>
      </c>
      <c r="D36" s="65" t="n">
        <v>12000</v>
      </c>
      <c r="E36" s="66">
        <f>IF(OR(C36="",D36=""),IF(D36="",0,D36),C36*D36)</f>
        <v/>
      </c>
      <c r="F36" s="20" t="inlineStr">
        <is>
          <t>⚠ ESTIMATIVA — trocar por orçamento</t>
        </is>
      </c>
    </row>
    <row r="37">
      <c r="B37" s="14" t="inlineStr">
        <is>
          <t>Subtotal reforma</t>
        </is>
      </c>
      <c r="E37" s="32">
        <f>SUM(E3:E36)</f>
        <v/>
      </c>
    </row>
    <row r="39">
      <c r="A39" s="8" t="inlineStr">
        <is>
          <t>2) Eletrônicos / móveis</t>
        </is>
      </c>
      <c r="B39" s="9" t="n"/>
      <c r="C39" s="9" t="n"/>
      <c r="D39" s="9" t="n"/>
      <c r="E39" s="9" t="n"/>
      <c r="F39" s="9" t="n"/>
    </row>
    <row r="40">
      <c r="B40" t="inlineStr">
        <is>
          <t>Impressora</t>
        </is>
      </c>
      <c r="C40" s="67" t="n">
        <v>1</v>
      </c>
      <c r="D40" s="65" t="n">
        <v>1000</v>
      </c>
      <c r="E40" s="66">
        <f>IF(D40="",0,C40*D40)</f>
        <v/>
      </c>
      <c r="F40" s="7" t="inlineStr">
        <is>
          <t>Confirmar necessidade</t>
        </is>
      </c>
    </row>
    <row r="41">
      <c r="B41" t="inlineStr">
        <is>
          <t>Impressora 3D</t>
        </is>
      </c>
      <c r="C41" s="67" t="n">
        <v>1</v>
      </c>
      <c r="D41" s="65" t="n">
        <v>3500</v>
      </c>
      <c r="E41" s="66">
        <f>IF(D41="",0,C41*D41)</f>
        <v/>
      </c>
    </row>
    <row r="42">
      <c r="B42" t="inlineStr">
        <is>
          <t>Roteadores</t>
        </is>
      </c>
      <c r="C42" s="67" t="n">
        <v>2</v>
      </c>
      <c r="D42" s="65" t="n">
        <v>300</v>
      </c>
      <c r="E42" s="66">
        <f>IF(D42="",0,C42*D42)</f>
        <v/>
      </c>
    </row>
    <row r="43">
      <c r="B43" t="inlineStr">
        <is>
          <t>Switch</t>
        </is>
      </c>
      <c r="C43" s="67" t="n">
        <v>1</v>
      </c>
      <c r="D43" s="65" t="n">
        <v>500</v>
      </c>
      <c r="E43" s="66">
        <f>IF(D43="",0,C43*D43)</f>
        <v/>
      </c>
    </row>
    <row r="44">
      <c r="B44" t="inlineStr">
        <is>
          <t>Cabos de rede</t>
        </is>
      </c>
      <c r="C44" s="67" t="n">
        <v>1</v>
      </c>
      <c r="D44" s="65" t="n">
        <v>500</v>
      </c>
      <c r="E44" s="66">
        <f>IF(D44="",0,C44*D44)</f>
        <v/>
      </c>
    </row>
    <row r="45">
      <c r="B45" t="inlineStr">
        <is>
          <t>Rack</t>
        </is>
      </c>
      <c r="C45" s="67" t="n">
        <v>1</v>
      </c>
      <c r="D45" s="65" t="n">
        <v>800</v>
      </c>
      <c r="E45" s="66">
        <f>IF(D45="",0,C45*D45)</f>
        <v/>
      </c>
    </row>
    <row r="46">
      <c r="B46" t="inlineStr">
        <is>
          <t>NoBreak</t>
        </is>
      </c>
      <c r="C46" s="67" t="n">
        <v>1</v>
      </c>
      <c r="D46" s="65" t="n">
        <v>1200</v>
      </c>
      <c r="E46" s="66">
        <f>IF(D46="",0,C46*D46)</f>
        <v/>
      </c>
      <c r="F46" s="20" t="inlineStr">
        <is>
          <t>⚠ ESTIMATIVA — trocar por orçamento</t>
        </is>
      </c>
    </row>
    <row r="47">
      <c r="B47" t="inlineStr">
        <is>
          <t>Videogame</t>
        </is>
      </c>
      <c r="C47" s="67" t="n">
        <v>1</v>
      </c>
      <c r="D47" s="65" t="n">
        <v>3000</v>
      </c>
      <c r="E47" s="66">
        <f>IF(D47="",0,C47*D47)</f>
        <v/>
      </c>
    </row>
    <row r="48">
      <c r="B48" t="inlineStr">
        <is>
          <t>Ar condicionado</t>
        </is>
      </c>
      <c r="C48" s="67" t="n">
        <v>3</v>
      </c>
      <c r="D48" s="65" t="n">
        <v>4000</v>
      </c>
      <c r="E48" s="66">
        <f>IF(D48="",0,C48*D48)</f>
        <v/>
      </c>
    </row>
    <row r="49">
      <c r="B49" t="inlineStr">
        <is>
          <t>Ventiladores</t>
        </is>
      </c>
      <c r="C49" s="67" t="n">
        <v>4</v>
      </c>
      <c r="D49" s="65" t="n">
        <v>300</v>
      </c>
      <c r="E49" s="66">
        <f>IF(D49="",0,C49*D49)</f>
        <v/>
      </c>
    </row>
    <row r="50">
      <c r="B50" t="inlineStr">
        <is>
          <t>Mesas</t>
        </is>
      </c>
      <c r="C50" s="67" t="n">
        <v>10</v>
      </c>
      <c r="D50" s="65" t="n">
        <v>300</v>
      </c>
      <c r="E50" s="66">
        <f>IF(D50="",0,C50*D50)</f>
        <v/>
      </c>
    </row>
    <row r="51">
      <c r="B51" t="inlineStr">
        <is>
          <t>Cadeiras</t>
        </is>
      </c>
      <c r="C51" s="67" t="n">
        <v>30</v>
      </c>
      <c r="D51" s="65" t="n">
        <v>150</v>
      </c>
      <c r="E51" s="66">
        <f>IF(D51="",0,C51*D51)</f>
        <v/>
      </c>
    </row>
    <row r="52">
      <c r="B52" t="inlineStr">
        <is>
          <t>Armários</t>
        </is>
      </c>
      <c r="C52" s="67" t="n">
        <v>2</v>
      </c>
      <c r="D52" s="65" t="n">
        <v>800</v>
      </c>
      <c r="E52" s="66">
        <f>IF(D52="",0,C52*D52)</f>
        <v/>
      </c>
    </row>
    <row r="53">
      <c r="B53" t="inlineStr">
        <is>
          <t>Estantes</t>
        </is>
      </c>
      <c r="C53" s="67" t="n">
        <v>3</v>
      </c>
      <c r="D53" s="65" t="n">
        <v>400</v>
      </c>
      <c r="E53" s="66">
        <f>IF(D53="",0,C53*D53)</f>
        <v/>
      </c>
    </row>
    <row r="54">
      <c r="B54" t="inlineStr">
        <is>
          <t>Gaveteiros</t>
        </is>
      </c>
      <c r="C54" s="67" t="n">
        <v>3</v>
      </c>
      <c r="D54" s="65" t="n">
        <v>300</v>
      </c>
      <c r="E54" s="66">
        <f>IF(D54="",0,C54*D54)</f>
        <v/>
      </c>
    </row>
    <row r="55">
      <c r="B55" t="inlineStr">
        <is>
          <t>Prateleiras</t>
        </is>
      </c>
      <c r="C55" s="67" t="n">
        <v>5</v>
      </c>
      <c r="D55" s="65" t="n">
        <v>150</v>
      </c>
      <c r="E55" s="66">
        <f>IF(D55="",0,C55*D55)</f>
        <v/>
      </c>
    </row>
    <row r="56">
      <c r="B56" t="inlineStr">
        <is>
          <t>Cafeteira</t>
        </is>
      </c>
      <c r="C56" s="67" t="n">
        <v>1</v>
      </c>
      <c r="D56" s="65" t="n">
        <v>160</v>
      </c>
      <c r="E56" s="66">
        <f>IF(D56="",0,C56*D56)</f>
        <v/>
      </c>
    </row>
    <row r="57">
      <c r="B57" t="inlineStr">
        <is>
          <t>Geladeira</t>
        </is>
      </c>
      <c r="C57" s="67" t="n">
        <v>1</v>
      </c>
      <c r="D57" s="65" t="n">
        <v>1700</v>
      </c>
      <c r="E57" s="66">
        <f>IF(D57="",0,C57*D57)</f>
        <v/>
      </c>
    </row>
    <row r="58">
      <c r="B58" t="inlineStr">
        <is>
          <t>Micro-ondas</t>
        </is>
      </c>
      <c r="C58" s="67" t="n">
        <v>1</v>
      </c>
      <c r="D58" s="65" t="n">
        <v>600</v>
      </c>
      <c r="E58" s="66">
        <f>IF(D58="",0,C58*D58)</f>
        <v/>
      </c>
    </row>
    <row r="59">
      <c r="B59" t="inlineStr">
        <is>
          <t>Filtro de água</t>
        </is>
      </c>
      <c r="C59" s="67" t="n">
        <v>2</v>
      </c>
      <c r="D59" s="65" t="n">
        <v>400</v>
      </c>
      <c r="E59" s="66">
        <f>IF(D59="",0,C59*D59)</f>
        <v/>
      </c>
    </row>
    <row r="60">
      <c r="B60" t="inlineStr">
        <is>
          <t>Uniformes</t>
        </is>
      </c>
      <c r="C60" s="67" t="n">
        <v>10</v>
      </c>
      <c r="D60" s="65" t="n">
        <v>70</v>
      </c>
      <c r="E60" s="66">
        <f>IF(D60="",0,C60*D60)</f>
        <v/>
      </c>
    </row>
    <row r="61">
      <c r="B61" t="inlineStr">
        <is>
          <t>EPI</t>
        </is>
      </c>
      <c r="C61" s="67" t="n">
        <v>1</v>
      </c>
      <c r="D61" s="65" t="n">
        <v>500</v>
      </c>
      <c r="E61" s="66">
        <f>IF(D61="",0,C61*D61)</f>
        <v/>
      </c>
      <c r="F61" s="20" t="inlineStr">
        <is>
          <t>⚠ ESTIMATIVA — trocar por orçamento</t>
        </is>
      </c>
    </row>
    <row r="62">
      <c r="B62" t="inlineStr">
        <is>
          <t>TVs</t>
        </is>
      </c>
      <c r="C62" s="67" t="n">
        <v>5</v>
      </c>
      <c r="D62" s="65" t="n">
        <v>1400</v>
      </c>
      <c r="E62" s="66">
        <f>IF(D62="",0,C62*D62)</f>
        <v/>
      </c>
    </row>
    <row r="63">
      <c r="B63" s="14" t="inlineStr">
        <is>
          <t>Subtotal eletrônicos/móveis</t>
        </is>
      </c>
      <c r="E63" s="32">
        <f>SUM(E40:E62)</f>
        <v/>
      </c>
    </row>
    <row r="65">
      <c r="A65" s="8" t="inlineStr">
        <is>
          <t>3) Abertura (projetos, licenças, fachada…)</t>
        </is>
      </c>
      <c r="B65" s="9" t="n"/>
      <c r="C65" s="9" t="n"/>
      <c r="D65" s="9" t="n"/>
      <c r="E65" s="9" t="n"/>
      <c r="F65" s="9" t="n"/>
    </row>
    <row r="66">
      <c r="B66" t="inlineStr">
        <is>
          <t>Projeto arquitetônico / adequação à franquia</t>
        </is>
      </c>
      <c r="D66" s="65" t="n">
        <v>4000</v>
      </c>
      <c r="E66" s="66">
        <f>IF(D66="",0,D66)</f>
        <v/>
      </c>
      <c r="F66" s="7" t="inlineStr">
        <is>
          <t>Confirmar: havia dúvida se era R$ 6.000</t>
        </is>
      </c>
    </row>
    <row r="67">
      <c r="B67" t="inlineStr">
        <is>
          <t>Projeto elétrico, hidráulico e acessibilidade</t>
        </is>
      </c>
      <c r="D67" s="65" t="n">
        <v>3500</v>
      </c>
      <c r="E67" s="66">
        <f>IF(D67="",0,D67)</f>
        <v/>
      </c>
      <c r="F67" s="20" t="inlineStr">
        <is>
          <t>⚠ ESTIMATIVA — trocar por orçamento</t>
        </is>
      </c>
    </row>
    <row r="68">
      <c r="B68" t="inlineStr">
        <is>
          <t>Alvarás/licenças/taxas municipais</t>
        </is>
      </c>
      <c r="D68" s="65" t="n">
        <v>2500</v>
      </c>
      <c r="E68" s="66">
        <f>IF(D68="",0,D68)</f>
        <v/>
      </c>
    </row>
    <row r="69">
      <c r="B69" t="inlineStr">
        <is>
          <t>AVCB/regularização de incêndio</t>
        </is>
      </c>
      <c r="D69" s="65" t="n">
        <v>3500</v>
      </c>
      <c r="E69" s="66">
        <f>IF(D69="",0,D69)</f>
        <v/>
      </c>
    </row>
    <row r="70">
      <c r="B70" t="inlineStr">
        <is>
          <t>Comunicação visual/fachada</t>
        </is>
      </c>
      <c r="D70" s="65" t="n">
        <v>8000</v>
      </c>
      <c r="E70" s="66">
        <f>IF(D70="",0,D70)</f>
        <v/>
      </c>
    </row>
    <row r="71">
      <c r="B71" t="inlineStr">
        <is>
          <t>Computadores adicionais</t>
        </is>
      </c>
      <c r="D71" s="65" t="n">
        <v>3520</v>
      </c>
      <c r="E71" s="66">
        <f>IF(D71="",0,D71)</f>
        <v/>
      </c>
    </row>
    <row r="72">
      <c r="B72" t="inlineStr">
        <is>
          <t>Instalação de ar-condicionado</t>
        </is>
      </c>
      <c r="D72" s="65" t="n">
        <v>3000</v>
      </c>
      <c r="E72" s="66">
        <f>IF(D72="",0,D72)</f>
        <v/>
      </c>
    </row>
    <row r="73">
      <c r="B73" t="inlineStr">
        <is>
          <t>Câmeras/CFTV</t>
        </is>
      </c>
      <c r="D73" s="65" t="n">
        <v>3000</v>
      </c>
      <c r="E73" s="66">
        <f>IF(D73="",0,D73)</f>
        <v/>
      </c>
    </row>
    <row r="74">
      <c r="B74" t="inlineStr">
        <is>
          <t>Alarme/controle de acesso</t>
        </is>
      </c>
      <c r="D74" s="65" t="n">
        <v>1800</v>
      </c>
      <c r="E74" s="66">
        <f>IF(D74="",0,D74)</f>
        <v/>
      </c>
    </row>
    <row r="75">
      <c r="B75" t="inlineStr">
        <is>
          <t>Mobiliário recepção/secretaria</t>
        </is>
      </c>
      <c r="D75" s="65" t="n">
        <v>5000</v>
      </c>
      <c r="E75" s="66">
        <f>IF(D75="",0,D75)</f>
        <v/>
      </c>
    </row>
    <row r="76">
      <c r="B76" t="inlineStr">
        <is>
          <t>Adequação acústica</t>
        </is>
      </c>
      <c r="D76" s="65" t="n">
        <v>3000</v>
      </c>
      <c r="E76" s="66">
        <f>IF(D76="",0,D76)</f>
        <v/>
      </c>
    </row>
    <row r="77">
      <c r="B77" t="inlineStr">
        <is>
          <t>Placas de sinalização e emergência</t>
        </is>
      </c>
      <c r="D77" s="65" t="n">
        <v>1000</v>
      </c>
      <c r="E77" s="66">
        <f>IF(D77="",0,D77)</f>
        <v/>
      </c>
    </row>
    <row r="78">
      <c r="B78" t="inlineStr">
        <is>
          <t>Extintores e equipamentos de emergência</t>
        </is>
      </c>
      <c r="D78" s="65" t="n">
        <v>1500</v>
      </c>
      <c r="E78" s="66">
        <f>IF(D78="",0,D78)</f>
        <v/>
      </c>
    </row>
    <row r="79">
      <c r="B79" t="inlineStr">
        <is>
          <t>Kit primeiros socorros</t>
        </is>
      </c>
      <c r="D79" s="65" t="n">
        <v>400</v>
      </c>
      <c r="E79" s="66">
        <f>IF(D79="",0,D79)</f>
        <v/>
      </c>
      <c r="F79" s="20" t="inlineStr">
        <is>
          <t>⚠ ESTIMATIVA — trocar por orçamento</t>
        </is>
      </c>
    </row>
    <row r="80">
      <c r="B80" s="14" t="inlineStr">
        <is>
          <t>Subtotal abertura</t>
        </is>
      </c>
      <c r="E80" s="32">
        <f>SUM(E66:E79)</f>
        <v/>
      </c>
    </row>
    <row r="82">
      <c r="B82" s="14" t="inlineStr">
        <is>
          <t>Reserva para imprevistos (% da reforma + abertura)</t>
        </is>
      </c>
      <c r="E82" s="68">
        <f>(E37+E80)*Premissas!$B$62</f>
        <v/>
      </c>
      <c r="F82" s="7" t="inlineStr">
        <is>
          <t>Obras estouram: 15% é o mínimo recomendado.</t>
        </is>
      </c>
    </row>
    <row r="83">
      <c r="B83" s="42" t="inlineStr">
        <is>
          <t>Investimento em obra + equipamentos + abertura</t>
        </is>
      </c>
      <c r="E83" s="32">
        <f>E37+E63+E80+E82</f>
        <v/>
      </c>
    </row>
    <row r="84">
      <c r="B84" s="14" t="inlineStr">
        <is>
          <t>Caução do imóvel (recuperável)</t>
        </is>
      </c>
      <c r="E84" s="69" t="n">
        <v>30000</v>
      </c>
    </row>
    <row r="85">
      <c r="B85" s="70" t="inlineStr">
        <is>
          <t>INVESTIMENTO TOTAL (obra + caução)</t>
        </is>
      </c>
      <c r="E85" s="71">
        <f>E83+E84</f>
        <v/>
      </c>
    </row>
    <row r="87">
      <c r="B87" s="14" t="inlineStr">
        <is>
          <t>Capital de giro necessário (pior caixa do Moderado)</t>
        </is>
      </c>
      <c r="E87" s="68">
        <f>MAX(0,-MIN('Cenário Moderado'!B49:S49))</f>
        <v/>
      </c>
    </row>
    <row r="88">
      <c r="B88" s="72" t="inlineStr">
        <is>
          <t>NECESSIDADE TOTAL DE CAPITAL</t>
        </is>
      </c>
      <c r="E88" s="73">
        <f>E85+E87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RESUMO — comparação dos cenários</t>
        </is>
      </c>
      <c r="B1" s="23" t="inlineStr">
        <is>
          <t>Pessimista</t>
        </is>
      </c>
      <c r="C1" s="23" t="inlineStr">
        <is>
          <t>Moderado</t>
        </is>
      </c>
      <c r="D1" s="23" t="inlineStr">
        <is>
          <t>Otimista</t>
        </is>
      </c>
    </row>
    <row r="2">
      <c r="A2" t="inlineStr">
        <is>
          <t>Alunos no M16</t>
        </is>
      </c>
      <c r="B2" s="27">
        <f>'Cenário Pessimista'!S7</f>
        <v/>
      </c>
      <c r="C2" s="27">
        <f>'Cenário Moderado'!S7</f>
        <v/>
      </c>
      <c r="D2" s="27">
        <f>'Cenário Otimista'!S7</f>
        <v/>
      </c>
    </row>
    <row r="3">
      <c r="A3" t="inlineStr">
        <is>
          <t>Professores no M16</t>
        </is>
      </c>
      <c r="B3" s="27">
        <f>'Cenário Pessimista'!S8</f>
        <v/>
      </c>
      <c r="C3" s="27">
        <f>'Cenário Moderado'!S8</f>
        <v/>
      </c>
      <c r="D3" s="27">
        <f>'Cenário Otimista'!S8</f>
        <v/>
      </c>
    </row>
    <row r="4">
      <c r="A4" t="inlineStr">
        <is>
          <t>Alíquota efetiva do Simples no M16</t>
        </is>
      </c>
      <c r="B4" s="74">
        <f>'Cenário Pessimista'!S20</f>
        <v/>
      </c>
      <c r="C4" s="74">
        <f>'Cenário Moderado'!S20</f>
        <v/>
      </c>
      <c r="D4" s="74">
        <f>'Cenário Otimista'!S20</f>
        <v/>
      </c>
    </row>
    <row r="5">
      <c r="A5" t="inlineStr">
        <is>
          <t>Receita recebida no M16</t>
        </is>
      </c>
      <c r="B5" s="29">
        <f>'Cenário Pessimista'!S15</f>
        <v/>
      </c>
      <c r="C5" s="29">
        <f>'Cenário Moderado'!S15</f>
        <v/>
      </c>
      <c r="D5" s="29">
        <f>'Cenário Otimista'!S15</f>
        <v/>
      </c>
    </row>
    <row r="6">
      <c r="A6" t="inlineStr">
        <is>
          <t>Resultado no M16</t>
        </is>
      </c>
      <c r="B6" s="52">
        <f>'Cenário Pessimista'!S48</f>
        <v/>
      </c>
      <c r="C6" s="52">
        <f>'Cenário Moderado'!S48</f>
        <v/>
      </c>
      <c r="D6" s="52">
        <f>'Cenário Otimista'!S48</f>
        <v/>
      </c>
    </row>
    <row r="7">
      <c r="A7" t="inlineStr">
        <is>
          <t>1º mês com lucro</t>
        </is>
      </c>
      <c r="B7" s="27">
        <f>IFERROR(MATCH(TRUE,INDEX('Cenário Pessimista'!D48:S48&gt;0,0),0),"—")</f>
        <v/>
      </c>
      <c r="C7" s="27">
        <f>IFERROR(MATCH(TRUE,INDEX('Cenário Moderado'!D48:S48&gt;0,0),0),"—")</f>
        <v/>
      </c>
      <c r="D7" s="27">
        <f>IFERROR(MATCH(TRUE,INDEX('Cenário Otimista'!D48:S48&gt;0,0),0),"—")</f>
        <v/>
      </c>
    </row>
    <row r="8">
      <c r="A8" t="inlineStr">
        <is>
          <t>Pior caixa operacional</t>
        </is>
      </c>
      <c r="B8" s="52">
        <f>MIN('Cenário Pessimista'!B49:S49)</f>
        <v/>
      </c>
      <c r="C8" s="52">
        <f>MIN('Cenário Moderado'!B49:S49)</f>
        <v/>
      </c>
      <c r="D8" s="52">
        <f>MIN('Cenário Otimista'!B49:S49)</f>
        <v/>
      </c>
    </row>
    <row r="9">
      <c r="A9" t="inlineStr">
        <is>
          <t>Mês do payback</t>
        </is>
      </c>
      <c r="B9" s="27">
        <f>IFERROR(MATCH(TRUE,INDEX('Cenário Pessimista'!D50:S50&gt;=0,0),0),"não atinge")</f>
        <v/>
      </c>
      <c r="C9" s="27">
        <f>IFERROR(MATCH(TRUE,INDEX('Cenário Moderado'!D50:S50&gt;=0,0),0),"não atinge")</f>
        <v/>
      </c>
      <c r="D9" s="27">
        <f>IFERROR(MATCH(TRUE,INDEX('Cenário Otimista'!D50:S50&gt;=0,0),0),"não atinge")</f>
        <v/>
      </c>
    </row>
    <row r="10">
      <c r="A10" t="inlineStr">
        <is>
          <t>Caixa no M16 incl. investimento</t>
        </is>
      </c>
      <c r="B10" s="52">
        <f>'Cenário Pessimista'!S50</f>
        <v/>
      </c>
      <c r="C10" s="52">
        <f>'Cenário Moderado'!S50</f>
        <v/>
      </c>
      <c r="D10" s="52">
        <f>'Cenário Otimista'!S50</f>
        <v/>
      </c>
    </row>
    <row r="12">
      <c r="A12" s="14" t="inlineStr">
        <is>
          <t>Break-even de alunos</t>
        </is>
      </c>
      <c r="B12" s="31">
        <f>Premissas!B90</f>
        <v/>
      </c>
    </row>
    <row r="13">
      <c r="A13" s="14" t="inlineStr">
        <is>
          <t>Necessidade total de capital</t>
        </is>
      </c>
      <c r="B13" s="32">
        <f>'Investimento (CAPEX)'!E88</f>
        <v/>
      </c>
    </row>
    <row r="14">
      <c r="A14" s="14" t="inlineStr">
        <is>
          <t>Investimento (obra + caução)</t>
        </is>
      </c>
      <c r="B14" s="32">
        <f>INVEST_TOTAL</f>
        <v/>
      </c>
    </row>
    <row r="15">
      <c r="A15" s="14" t="inlineStr">
        <is>
          <t>Custos de implantação já lançados</t>
        </is>
      </c>
      <c r="B15" s="32">
        <f>'Análise de custos'!A3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2026-09-09T00:44:12Z</dcterms:created>
  <dcterms:modified xsi:type="dcterms:W3CDTF">2026-09-09T00:44:12Z</dcterms:modified>
</cp:coreProperties>
</file>